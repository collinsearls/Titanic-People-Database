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Survival Rates" sheetId="2" r:id="rId6"/>
    <sheet state="visible" name="Cards" sheetId="3" r:id="rId7"/>
    <sheet state="visible" name="Memorial #s" sheetId="4" r:id="rId8"/>
  </sheets>
  <definedNames/>
  <calcPr/>
</workbook>
</file>

<file path=xl/sharedStrings.xml><?xml version="1.0" encoding="utf-8"?>
<sst xmlns="http://schemas.openxmlformats.org/spreadsheetml/2006/main" count="4976" uniqueCount="747">
  <si>
    <t>Born</t>
  </si>
  <si>
    <t>Died</t>
  </si>
  <si>
    <t>Age on Titanic</t>
  </si>
  <si>
    <t>Gender</t>
  </si>
  <si>
    <t>Marital Status</t>
  </si>
  <si>
    <t>Class</t>
  </si>
  <si>
    <t>Fate</t>
  </si>
  <si>
    <t>Crew Positions</t>
  </si>
  <si>
    <t>Photo?</t>
  </si>
  <si>
    <t>Age Group</t>
  </si>
  <si>
    <t>ADAMS, Reid</t>
  </si>
  <si>
    <t>Male</t>
  </si>
  <si>
    <t>1st Class</t>
  </si>
  <si>
    <t>Saved</t>
  </si>
  <si>
    <t>40-59</t>
  </si>
  <si>
    <t>ADAMS, Ryan</t>
  </si>
  <si>
    <t>Married</t>
  </si>
  <si>
    <t>ADAMS, Violet</t>
  </si>
  <si>
    <t>2nd Class</t>
  </si>
  <si>
    <t>Lost</t>
  </si>
  <si>
    <t>60+</t>
  </si>
  <si>
    <t>ALEXANDER, Brad</t>
  </si>
  <si>
    <t>Crew</t>
  </si>
  <si>
    <t>Deck</t>
  </si>
  <si>
    <t>20-39</t>
  </si>
  <si>
    <t>ALEXANDER, Edith</t>
  </si>
  <si>
    <t>Single</t>
  </si>
  <si>
    <t>Victualling</t>
  </si>
  <si>
    <t>ALEXANDER, Ellia</t>
  </si>
  <si>
    <t>ALEXANDER, Gianna</t>
  </si>
  <si>
    <t>Female</t>
  </si>
  <si>
    <t>00-19</t>
  </si>
  <si>
    <t>ALEXANDER, Sawyer</t>
  </si>
  <si>
    <t>3rd Class</t>
  </si>
  <si>
    <t>ALLEN, Jacob</t>
  </si>
  <si>
    <t>A la Carte</t>
  </si>
  <si>
    <t>ALLEN, Naomi</t>
  </si>
  <si>
    <t>ALLEN, Paige</t>
  </si>
  <si>
    <t>ANDERSON, Aldus</t>
  </si>
  <si>
    <t>ANDERSON, Amelia</t>
  </si>
  <si>
    <t>Engine</t>
  </si>
  <si>
    <t>ANDERSON, Annabella</t>
  </si>
  <si>
    <t>ANDERSON, Lily</t>
  </si>
  <si>
    <t>ANDERSON, Melanie</t>
  </si>
  <si>
    <t>Engaged</t>
  </si>
  <si>
    <t>ANDERSON, Walter</t>
  </si>
  <si>
    <t>ANDREWS, Aiden</t>
  </si>
  <si>
    <t>Widowed</t>
  </si>
  <si>
    <t>ANDREWS, Alfred</t>
  </si>
  <si>
    <t>ANDREWS, Catherine</t>
  </si>
  <si>
    <t>ANDREWS, Sabrina</t>
  </si>
  <si>
    <t>ANDREWS, Walter</t>
  </si>
  <si>
    <t>ARMSTRONG, Alexia</t>
  </si>
  <si>
    <t>ARMSTRONG, Fenton</t>
  </si>
  <si>
    <t>ARMSTRONG, Kimberly</t>
  </si>
  <si>
    <t>BAILEY, Dainton</t>
  </si>
  <si>
    <t>BAILEY, Hailey</t>
  </si>
  <si>
    <t>BAILEY, Max</t>
  </si>
  <si>
    <t>BAILEY, Owen</t>
  </si>
  <si>
    <t>BAILEY, Rubie</t>
  </si>
  <si>
    <t>BAILEY, Samantha</t>
  </si>
  <si>
    <t>BAKER, Evelyn</t>
  </si>
  <si>
    <t>BAKER, Joyce</t>
  </si>
  <si>
    <t>BAKER, Miller</t>
  </si>
  <si>
    <t>BAKER, Sarah</t>
  </si>
  <si>
    <t>BARNES, James</t>
  </si>
  <si>
    <t>BARNES, Stuart</t>
  </si>
  <si>
    <t>BARRETT, Anna</t>
  </si>
  <si>
    <t>BARRETT, Charlotte</t>
  </si>
  <si>
    <t>BARRETT, Julian</t>
  </si>
  <si>
    <t>BARRETT, Lucia</t>
  </si>
  <si>
    <t>BARRETT, Olivia</t>
  </si>
  <si>
    <t>BROOKS, Brianna</t>
  </si>
  <si>
    <t>BROOKS, Eddy</t>
  </si>
  <si>
    <t>BROOKS, Jessica</t>
  </si>
  <si>
    <t>BROOKS, Lilianna</t>
  </si>
  <si>
    <t>BROOKS, Martin</t>
  </si>
  <si>
    <t>BROWN, Walter</t>
  </si>
  <si>
    <t>CAMERON, Deanna</t>
  </si>
  <si>
    <t>CAMERON, Eric</t>
  </si>
  <si>
    <t>CAMERON, Lucas</t>
  </si>
  <si>
    <t>CAMERON, Lyndon</t>
  </si>
  <si>
    <t>CAMPBELL, April</t>
  </si>
  <si>
    <t>CAMPBELL, Carl</t>
  </si>
  <si>
    <t>CARROLL, Justin</t>
  </si>
  <si>
    <t>CARROLL, Lilianna</t>
  </si>
  <si>
    <t>CARROLL, Miranda</t>
  </si>
  <si>
    <t>CARROLL, Roman</t>
  </si>
  <si>
    <t>CARTER, Dexter</t>
  </si>
  <si>
    <t>CARTER, Eric</t>
  </si>
  <si>
    <t>CARTER, Isabella</t>
  </si>
  <si>
    <t>CARTER, Samantha</t>
  </si>
  <si>
    <t>CARTER, Wilson</t>
  </si>
  <si>
    <t>Divorced</t>
  </si>
  <si>
    <t>CASEY, Brianna</t>
  </si>
  <si>
    <t>CHAPMAN, Adelaide</t>
  </si>
  <si>
    <t>CHAPMAN, Arthur</t>
  </si>
  <si>
    <t>CHAPMAN, Brad</t>
  </si>
  <si>
    <t>CLARK, Lyndon</t>
  </si>
  <si>
    <t>CLARK, Martin</t>
  </si>
  <si>
    <t>CLARK, Miley</t>
  </si>
  <si>
    <t>CLARK, Violet</t>
  </si>
  <si>
    <t>COLE, Aiden</t>
  </si>
  <si>
    <t>COLE, Alexia</t>
  </si>
  <si>
    <t>COLE, Melanie</t>
  </si>
  <si>
    <t>COLE, Violet</t>
  </si>
  <si>
    <t>COOPER, Violet</t>
  </si>
  <si>
    <t>CRAIG, Amber</t>
  </si>
  <si>
    <t>CRAIG, James</t>
  </si>
  <si>
    <t>CRAIG, Jared</t>
  </si>
  <si>
    <t>CRAIG, Jordan</t>
  </si>
  <si>
    <t>CRAIG, Martin</t>
  </si>
  <si>
    <t>CRAIG, Tiana</t>
  </si>
  <si>
    <t>CRAIG, Wilson</t>
  </si>
  <si>
    <t>CRAWFORD, Sienna</t>
  </si>
  <si>
    <t>CUNNINGHAM, Edward</t>
  </si>
  <si>
    <t>CUNNINGHAM, Preston</t>
  </si>
  <si>
    <t>CUNNINGHAM, Ryan</t>
  </si>
  <si>
    <t>DAVIS, Maddie</t>
  </si>
  <si>
    <t>DAVIS, Tiana</t>
  </si>
  <si>
    <t>DIXON, Adrian</t>
  </si>
  <si>
    <t>DIXON, Alisa</t>
  </si>
  <si>
    <t>DIXON, Emma</t>
  </si>
  <si>
    <t>DIXON, Florrie</t>
  </si>
  <si>
    <t>DOUGLAS, Anna</t>
  </si>
  <si>
    <t>DOUGLAS, Carina</t>
  </si>
  <si>
    <t>DOUGLAS, Darcy</t>
  </si>
  <si>
    <t>DOUGLAS, Emma</t>
  </si>
  <si>
    <t>DOUGLAS, Kirsten</t>
  </si>
  <si>
    <t>DOUGLAS, Maria</t>
  </si>
  <si>
    <t>DOUGLAS, Ryan</t>
  </si>
  <si>
    <t>EDWARDS, Camila</t>
  </si>
  <si>
    <t>EDWARDS, Emma</t>
  </si>
  <si>
    <t>EDWARDS, Gianna</t>
  </si>
  <si>
    <t>EDWARDS, Jack</t>
  </si>
  <si>
    <t>EDWARDS, Madaline</t>
  </si>
  <si>
    <t>EDWARDS, Miley</t>
  </si>
  <si>
    <t>EDWARDS, Preston</t>
  </si>
  <si>
    <t>ELLIOTT, Belinda</t>
  </si>
  <si>
    <t>ELLIOTT, Haris</t>
  </si>
  <si>
    <t>ELLIOTT, Kevin</t>
  </si>
  <si>
    <t>ELLIOTT, Madaline</t>
  </si>
  <si>
    <t>ELLIOTT, Marcus</t>
  </si>
  <si>
    <t>ELLIOTT, Stuart</t>
  </si>
  <si>
    <t>ELLIS, April</t>
  </si>
  <si>
    <t>ELLIS, Madaline</t>
  </si>
  <si>
    <t>ELLIS, Sophia</t>
  </si>
  <si>
    <t>EVANS, Alfred</t>
  </si>
  <si>
    <t>EVANS, Dexter</t>
  </si>
  <si>
    <t>FARRELL, Alina</t>
  </si>
  <si>
    <t>FARRELL, Michael</t>
  </si>
  <si>
    <t>FERGUSON, Daniel</t>
  </si>
  <si>
    <t>FERGUSON, Fenton</t>
  </si>
  <si>
    <t>FERGUSON, James</t>
  </si>
  <si>
    <t>FERGUSON, Ryan</t>
  </si>
  <si>
    <t>FOSTER, Aida</t>
  </si>
  <si>
    <t>FOSTER, Alissa</t>
  </si>
  <si>
    <t>FOSTER, Aston</t>
  </si>
  <si>
    <t>FOSTER, Joyce</t>
  </si>
  <si>
    <t>FOSTER, William</t>
  </si>
  <si>
    <t>FOWLER, Amanda</t>
  </si>
  <si>
    <t>FOWLER, Daisy</t>
  </si>
  <si>
    <t>FOWLER, Frederick</t>
  </si>
  <si>
    <t>FOWLER, Kimberly</t>
  </si>
  <si>
    <t>GIBSON, James</t>
  </si>
  <si>
    <t>GIBSON, Sofia</t>
  </si>
  <si>
    <t>GRANT, Catherine</t>
  </si>
  <si>
    <t>GRANT, Freddie</t>
  </si>
  <si>
    <t>GRANT, Lucy</t>
  </si>
  <si>
    <t>GRANT, Marcus</t>
  </si>
  <si>
    <t>GRAY, Alissa</t>
  </si>
  <si>
    <t>GRAY, Chelsea</t>
  </si>
  <si>
    <t>GRAY, Gianna</t>
  </si>
  <si>
    <t>GRAY, Justin</t>
  </si>
  <si>
    <t>GRAY, Kelsey</t>
  </si>
  <si>
    <t>GRAY, Mary</t>
  </si>
  <si>
    <t>GRAY, Victor</t>
  </si>
  <si>
    <t>HALL, Adrian</t>
  </si>
  <si>
    <t>HALL, David</t>
  </si>
  <si>
    <t>HALL, Maya</t>
  </si>
  <si>
    <t>HALL, Vincent</t>
  </si>
  <si>
    <t>HAMILTON, Abraham</t>
  </si>
  <si>
    <t>HAMILTON, Albert</t>
  </si>
  <si>
    <t>HAMILTON, Amanda</t>
  </si>
  <si>
    <t>HAMILTON, Frederick</t>
  </si>
  <si>
    <t>HARPER, Abigail</t>
  </si>
  <si>
    <t>HARPER, Ada</t>
  </si>
  <si>
    <t>HARPER, Leonardo</t>
  </si>
  <si>
    <t>HARPER, Maria</t>
  </si>
  <si>
    <t>HARRIS, Arianna</t>
  </si>
  <si>
    <t>HARRIS, Garry</t>
  </si>
  <si>
    <t>HARRIS, Michael</t>
  </si>
  <si>
    <t>HARRIS, Robert</t>
  </si>
  <si>
    <t>HARRISON, Adison</t>
  </si>
  <si>
    <t>HARRISON, Aston</t>
  </si>
  <si>
    <t>HARRISON, Elian</t>
  </si>
  <si>
    <t>HARRISON, Florrie</t>
  </si>
  <si>
    <t>HARRISON, Nicole</t>
  </si>
  <si>
    <t>HAWKINS, Alisa</t>
  </si>
  <si>
    <t>HAWKINS, Carl</t>
  </si>
  <si>
    <t>HAWKINS, Dominik</t>
  </si>
  <si>
    <t>HAWKINS, Tony</t>
  </si>
  <si>
    <t>HENDERSON, Anna</t>
  </si>
  <si>
    <t>HENDERSON, Miley</t>
  </si>
  <si>
    <t>HIGGINS, Brad</t>
  </si>
  <si>
    <t>HIGGINS, Jared</t>
  </si>
  <si>
    <t>HIGGINS, Sienna</t>
  </si>
  <si>
    <t>HIGGINS, Thomas</t>
  </si>
  <si>
    <t>HIGGINS, Vanessa</t>
  </si>
  <si>
    <t>HILL, Albert</t>
  </si>
  <si>
    <t>HILL, Arthur</t>
  </si>
  <si>
    <t>HILL, George</t>
  </si>
  <si>
    <t>HILL, Jack</t>
  </si>
  <si>
    <t>HILL, Maya</t>
  </si>
  <si>
    <t>HILL, Michelle</t>
  </si>
  <si>
    <t>HILL, Sabrina</t>
  </si>
  <si>
    <t>HILL, Walter</t>
  </si>
  <si>
    <t>HOLMES, Alexander</t>
  </si>
  <si>
    <t>HOLMES, Frederick</t>
  </si>
  <si>
    <t>HOLMES, Tess</t>
  </si>
  <si>
    <t>HOWARD, Heather</t>
  </si>
  <si>
    <t>HOWARD, Jasmine</t>
  </si>
  <si>
    <t>HOWARD, Ryan</t>
  </si>
  <si>
    <t>HOWARD, Wilson</t>
  </si>
  <si>
    <t>HUNT, Ashton</t>
  </si>
  <si>
    <t>HUNT, Clark</t>
  </si>
  <si>
    <t>HUNT, Deanna</t>
  </si>
  <si>
    <t>HUNT, Hailey</t>
  </si>
  <si>
    <t>HUNT, Melanie</t>
  </si>
  <si>
    <t>HUNT, Sarah</t>
  </si>
  <si>
    <t>JOHNSON, Reid</t>
  </si>
  <si>
    <t>JOHNSON, Valeria</t>
  </si>
  <si>
    <t>JOHNSTON, Adele</t>
  </si>
  <si>
    <t>JOHNSTON, Andrew</t>
  </si>
  <si>
    <t>JONES, Deanna</t>
  </si>
  <si>
    <t>JONES, Mary</t>
  </si>
  <si>
    <t>JONES, Sawyer</t>
  </si>
  <si>
    <t>KELLEY, Alfred</t>
  </si>
  <si>
    <t>KELLEY, Jacob</t>
  </si>
  <si>
    <t>KELLY, Belinda</t>
  </si>
  <si>
    <t>KELLY, Chelsea</t>
  </si>
  <si>
    <t>KELLY, Edith</t>
  </si>
  <si>
    <t>KELLY, Garry</t>
  </si>
  <si>
    <t>KELLY, George</t>
  </si>
  <si>
    <t>KELLY, Michelle</t>
  </si>
  <si>
    <t>KELLY, Sienna</t>
  </si>
  <si>
    <t>LLOYD, Lucy</t>
  </si>
  <si>
    <t>LLOYD, Owen</t>
  </si>
  <si>
    <t>MARTIN, Alfred</t>
  </si>
  <si>
    <t>MARTIN, Alisa</t>
  </si>
  <si>
    <t>MARTIN, Fiona</t>
  </si>
  <si>
    <t>MARTIN, Haris</t>
  </si>
  <si>
    <t>MARTIN, Harold</t>
  </si>
  <si>
    <t>MARTIN, Jessica</t>
  </si>
  <si>
    <t>MASON, Aston</t>
  </si>
  <si>
    <t>MASON, Chloe</t>
  </si>
  <si>
    <t>MASON, Kate</t>
  </si>
  <si>
    <t>MASON, Madaline</t>
  </si>
  <si>
    <t>MILLER, Ashton</t>
  </si>
  <si>
    <t>MILLER, Sarah</t>
  </si>
  <si>
    <t>MILLER, Steven</t>
  </si>
  <si>
    <t>MITCHELL, Melanie</t>
  </si>
  <si>
    <t>MITCHELL, Natalie</t>
  </si>
  <si>
    <t>MONTGOMERY, Ada</t>
  </si>
  <si>
    <t>MONTGOMERY, George</t>
  </si>
  <si>
    <t>MONTGOMERY, James</t>
  </si>
  <si>
    <t>MONTGOMERY, Rebecca</t>
  </si>
  <si>
    <t>MONTGOMERY, Ryan</t>
  </si>
  <si>
    <t>MOORE, Gianna</t>
  </si>
  <si>
    <t>MORGAN, Alan</t>
  </si>
  <si>
    <t>MORGAN, Carl</t>
  </si>
  <si>
    <t>MORGAN, Isabella</t>
  </si>
  <si>
    <t>MORGAN, Jack</t>
  </si>
  <si>
    <t>MORGAN, Paul</t>
  </si>
  <si>
    <t>MORRIS, Adison</t>
  </si>
  <si>
    <t>MORRIS, Jared</t>
  </si>
  <si>
    <t>MORRIS, Vanessa</t>
  </si>
  <si>
    <t>MORRISON, Ashton</t>
  </si>
  <si>
    <t>MORRISON, Victor</t>
  </si>
  <si>
    <t>MURPHY, Adison</t>
  </si>
  <si>
    <t>MURPHY, Darcy</t>
  </si>
  <si>
    <t>MURPHY, Eric</t>
  </si>
  <si>
    <t>MURPHY, Henry</t>
  </si>
  <si>
    <t>MURPHY, Jenna</t>
  </si>
  <si>
    <t>MURPHY, Myra</t>
  </si>
  <si>
    <t>MURRAY, Kate</t>
  </si>
  <si>
    <t>MURRAY, Natalie</t>
  </si>
  <si>
    <t>MURRAY, Rubie</t>
  </si>
  <si>
    <t>MURRAY, Sabrina</t>
  </si>
  <si>
    <t>MYERS, Alexia</t>
  </si>
  <si>
    <t>MYERS, Alford</t>
  </si>
  <si>
    <t>MYERS, Jordan</t>
  </si>
  <si>
    <t>MYERS, Preston</t>
  </si>
  <si>
    <t>MYERS, Victor</t>
  </si>
  <si>
    <t>NELSON, Adison</t>
  </si>
  <si>
    <t>NELSON, Amelia</t>
  </si>
  <si>
    <t>NELSON, Brooke</t>
  </si>
  <si>
    <t>NELSON, Chelsea</t>
  </si>
  <si>
    <t>NELSON, Kimberly</t>
  </si>
  <si>
    <t>OWENS, Agata</t>
  </si>
  <si>
    <t>OWENS, George</t>
  </si>
  <si>
    <t>OWENS, Walter</t>
  </si>
  <si>
    <t>PARKER, Abraham</t>
  </si>
  <si>
    <t>PARKER, Rosie</t>
  </si>
  <si>
    <t>PAYNE, Bruce</t>
  </si>
  <si>
    <t>PAYNE, Jacob</t>
  </si>
  <si>
    <t>PAYNE, Jasmine</t>
  </si>
  <si>
    <t>PAYNE, Ted</t>
  </si>
  <si>
    <t>PERKINS, Agata</t>
  </si>
  <si>
    <t>PERKINS, Andrew</t>
  </si>
  <si>
    <t>PERKINS, Edward</t>
  </si>
  <si>
    <t>PERKINS, Lucas</t>
  </si>
  <si>
    <t>PERKINS, Miranda</t>
  </si>
  <si>
    <t>PERRY, Adrian</t>
  </si>
  <si>
    <t>PERRY, Alan</t>
  </si>
  <si>
    <t>PHILLIPS, Sofia</t>
  </si>
  <si>
    <t>REED, Alfred</t>
  </si>
  <si>
    <t>REED, Ashton</t>
  </si>
  <si>
    <t>REED, David</t>
  </si>
  <si>
    <t>REED, Dominik</t>
  </si>
  <si>
    <t>REED, Jordan</t>
  </si>
  <si>
    <t>RICHARDS, Andrew</t>
  </si>
  <si>
    <t>RICHARDS, Annabella</t>
  </si>
  <si>
    <t>RICHARDS, Carlos</t>
  </si>
  <si>
    <t>RICHARDS, Florrie</t>
  </si>
  <si>
    <t>RICHARDS, Melanie</t>
  </si>
  <si>
    <t>RICHARDS, Sophia</t>
  </si>
  <si>
    <t>RICHARDSON, Ada</t>
  </si>
  <si>
    <t>RICHARDSON, Brooke</t>
  </si>
  <si>
    <t>RICHARDSON, Edith</t>
  </si>
  <si>
    <t>RICHARDSON, Oscar</t>
  </si>
  <si>
    <t>RICHARDSON, Tony</t>
  </si>
  <si>
    <t>RICHARDSON, William</t>
  </si>
  <si>
    <t>RILEY, Fenton</t>
  </si>
  <si>
    <t>RILEY, Rosie</t>
  </si>
  <si>
    <t>ROBERTS, Clark</t>
  </si>
  <si>
    <t>ROBERTS, David</t>
  </si>
  <si>
    <t>ROBINSON, Agata</t>
  </si>
  <si>
    <t>ROBINSON, Amanda</t>
  </si>
  <si>
    <t>ROBINSON, Carl</t>
  </si>
  <si>
    <t>ROBINSON, Isabella</t>
  </si>
  <si>
    <t>ROBINSON, Natalie</t>
  </si>
  <si>
    <t>ROBINSON, Tess</t>
  </si>
  <si>
    <t>ROGERS, Ada</t>
  </si>
  <si>
    <t>ROGERS, Amanda</t>
  </si>
  <si>
    <t>ROGERS, Caroline</t>
  </si>
  <si>
    <t>ROGERS, Jasmine</t>
  </si>
  <si>
    <t>ROGERS, Kirsten</t>
  </si>
  <si>
    <t>ROSS, Adam</t>
  </si>
  <si>
    <t>ROSS, Deanna</t>
  </si>
  <si>
    <t>ROSS, Roland</t>
  </si>
  <si>
    <t>RUSSELL, Aida</t>
  </si>
  <si>
    <t>RUSSELL, Alberta</t>
  </si>
  <si>
    <t>RUSSELL, Alissa</t>
  </si>
  <si>
    <t>RUSSELL, Dominik</t>
  </si>
  <si>
    <t>RUSSELL, Isabella</t>
  </si>
  <si>
    <t>RUSSELL, Kellan</t>
  </si>
  <si>
    <t>RUSSELL, Rebecca</t>
  </si>
  <si>
    <t>RYAN, Alexander</t>
  </si>
  <si>
    <t>RYAN, Derek</t>
  </si>
  <si>
    <t>RYAN, Tony</t>
  </si>
  <si>
    <t>RYAN, Vivian</t>
  </si>
  <si>
    <t>SCOTT, Edward</t>
  </si>
  <si>
    <t>SCOTT, Edwin</t>
  </si>
  <si>
    <t>SCOTT, Haris</t>
  </si>
  <si>
    <t>SCOTT, Richard</t>
  </si>
  <si>
    <t>SMITH, Derek</t>
  </si>
  <si>
    <t>SMITH, Florrie</t>
  </si>
  <si>
    <t>SMITH, Maximilian</t>
  </si>
  <si>
    <t>SPENCER, Kevin</t>
  </si>
  <si>
    <t>SPENCER, Maya</t>
  </si>
  <si>
    <t>SPENCER, Michelle</t>
  </si>
  <si>
    <t>STEVENS, Miley</t>
  </si>
  <si>
    <t>STEVENS, Sarah</t>
  </si>
  <si>
    <t>STEWART, Annabella</t>
  </si>
  <si>
    <t>STEWART, Darcy</t>
  </si>
  <si>
    <t>STEWART, Emily</t>
  </si>
  <si>
    <t>STEWART, Nicole</t>
  </si>
  <si>
    <t>SULLIVAN, Amy</t>
  </si>
  <si>
    <t>SULLIVAN, Maddie</t>
  </si>
  <si>
    <t>SULLIVAN, Maya</t>
  </si>
  <si>
    <t>SULLIVAN, Walter</t>
  </si>
  <si>
    <t>TAYLOR, Blake</t>
  </si>
  <si>
    <t>TAYLOR, Jasmine</t>
  </si>
  <si>
    <t>THOMAS, Albert</t>
  </si>
  <si>
    <t>THOMAS, Belinda</t>
  </si>
  <si>
    <t>THOMPSON, Clark</t>
  </si>
  <si>
    <t>THOMPSON, Penelope</t>
  </si>
  <si>
    <t>THOMPSON, Spike</t>
  </si>
  <si>
    <t>TUCKER, Adele</t>
  </si>
  <si>
    <t>TUCKER, Albert</t>
  </si>
  <si>
    <t>TUCKER, Charlotte</t>
  </si>
  <si>
    <t>TURNER, Alen</t>
  </si>
  <si>
    <t>TURNER, Derek</t>
  </si>
  <si>
    <t>TURNER, Justin</t>
  </si>
  <si>
    <t>TURNER, Kristian</t>
  </si>
  <si>
    <t>TURNER, Leonardo</t>
  </si>
  <si>
    <t>WALKER, Adrian</t>
  </si>
  <si>
    <t>WALKER, Deanna</t>
  </si>
  <si>
    <t>WARREN, Bruce</t>
  </si>
  <si>
    <t>WARREN, Jenna</t>
  </si>
  <si>
    <t>WARREN, Lydia</t>
  </si>
  <si>
    <t>WARREN, Marcus</t>
  </si>
  <si>
    <t>WARREN, Martin</t>
  </si>
  <si>
    <t>WATSON, Aldus</t>
  </si>
  <si>
    <t>WATSON, Eleanor</t>
  </si>
  <si>
    <t>WATSON, Eric</t>
  </si>
  <si>
    <t>WATSON, Jordan</t>
  </si>
  <si>
    <t>WATSON, Naomi</t>
  </si>
  <si>
    <t>WATSON, Nicole</t>
  </si>
  <si>
    <t>WATSON, Owen</t>
  </si>
  <si>
    <t>WATSON, Roland</t>
  </si>
  <si>
    <t>WATSON, Sam</t>
  </si>
  <si>
    <t>WATSON, Violet</t>
  </si>
  <si>
    <t>WATSON, Vivian</t>
  </si>
  <si>
    <t>WELLS, Amber</t>
  </si>
  <si>
    <t>WELLS, Carl</t>
  </si>
  <si>
    <t>WELLS, Chloe</t>
  </si>
  <si>
    <t>WELLS, Daisy</t>
  </si>
  <si>
    <t>WELLS, Lucy</t>
  </si>
  <si>
    <t>WELLS, Nicole</t>
  </si>
  <si>
    <t>WELLS, Walter</t>
  </si>
  <si>
    <t>WEST, Daryl</t>
  </si>
  <si>
    <t>WEST, Robert</t>
  </si>
  <si>
    <t>WEST, Rosie</t>
  </si>
  <si>
    <t>WILLIAMS, Charlotte</t>
  </si>
  <si>
    <t>WILSON, Abigail</t>
  </si>
  <si>
    <t>WILSON, Aida</t>
  </si>
  <si>
    <t>WILSON, Sawyer</t>
  </si>
  <si>
    <t>WRIGHT, Adison</t>
  </si>
  <si>
    <t>WRIGHT, Maya</t>
  </si>
  <si>
    <t>Total</t>
  </si>
  <si>
    <t>N/A</t>
  </si>
  <si>
    <t>00-19 Saved</t>
  </si>
  <si>
    <t>00-19 Total</t>
  </si>
  <si>
    <t>20-39 Saved</t>
  </si>
  <si>
    <t>20-39 Total</t>
  </si>
  <si>
    <t>40-59 Saved</t>
  </si>
  <si>
    <t>40-59 Total</t>
  </si>
  <si>
    <t>60+ Saved</t>
  </si>
  <si>
    <t>60+ Total</t>
  </si>
  <si>
    <t>Total Saved</t>
  </si>
  <si>
    <t>Webpage Link</t>
  </si>
  <si>
    <t>Name</t>
  </si>
  <si>
    <t>Birth Year</t>
  </si>
  <si>
    <t>AoT</t>
  </si>
  <si>
    <t>Img</t>
  </si>
  <si>
    <t>#HYPERLINK(LINK)</t>
  </si>
  <si>
    <t>IMG.jpg</t>
  </si>
  <si>
    <t>ADAMS</t>
  </si>
  <si>
    <t>Reid</t>
  </si>
  <si>
    <t>Ryan</t>
  </si>
  <si>
    <t>Violet</t>
  </si>
  <si>
    <t>ALEXANDER</t>
  </si>
  <si>
    <t>Brad</t>
  </si>
  <si>
    <t>Edith</t>
  </si>
  <si>
    <t>Ellia</t>
  </si>
  <si>
    <t>Gianna</t>
  </si>
  <si>
    <t>Sawyer</t>
  </si>
  <si>
    <t>ALLEN</t>
  </si>
  <si>
    <t>Jacob</t>
  </si>
  <si>
    <t>Naomi</t>
  </si>
  <si>
    <t>Paige</t>
  </si>
  <si>
    <t>ANDERSON</t>
  </si>
  <si>
    <t>Aldus</t>
  </si>
  <si>
    <t>Amelia</t>
  </si>
  <si>
    <t>Annabella</t>
  </si>
  <si>
    <t>Lily</t>
  </si>
  <si>
    <t>Melanie</t>
  </si>
  <si>
    <t>Walter</t>
  </si>
  <si>
    <t>ANDREWS</t>
  </si>
  <si>
    <t>Aiden</t>
  </si>
  <si>
    <t>Alfred</t>
  </si>
  <si>
    <t>Catherine</t>
  </si>
  <si>
    <t>Sabrina</t>
  </si>
  <si>
    <t>ARMSTRONG</t>
  </si>
  <si>
    <t>Alexia</t>
  </si>
  <si>
    <t>Fenton</t>
  </si>
  <si>
    <t>Kimberly</t>
  </si>
  <si>
    <t>BAILEY</t>
  </si>
  <si>
    <t>Dainton</t>
  </si>
  <si>
    <t>Hailey</t>
  </si>
  <si>
    <t>Max</t>
  </si>
  <si>
    <t>Owen</t>
  </si>
  <si>
    <t>Rubie</t>
  </si>
  <si>
    <t>Samantha</t>
  </si>
  <si>
    <t>BAKER</t>
  </si>
  <si>
    <t>Evelyn</t>
  </si>
  <si>
    <t>Joyce</t>
  </si>
  <si>
    <t>Miller</t>
  </si>
  <si>
    <t>Sarah</t>
  </si>
  <si>
    <t>BARNES</t>
  </si>
  <si>
    <t>James</t>
  </si>
  <si>
    <t>Stuart</t>
  </si>
  <si>
    <t>BARRETT</t>
  </si>
  <si>
    <t>Anna</t>
  </si>
  <si>
    <t>Charlotte</t>
  </si>
  <si>
    <t>Julian</t>
  </si>
  <si>
    <t>Lucia</t>
  </si>
  <si>
    <t>Olivia</t>
  </si>
  <si>
    <t>BROOKS</t>
  </si>
  <si>
    <t>Brianna</t>
  </si>
  <si>
    <t>Eddy</t>
  </si>
  <si>
    <t>Jessica</t>
  </si>
  <si>
    <t>Lilianna</t>
  </si>
  <si>
    <t>Martin</t>
  </si>
  <si>
    <t>BROWN</t>
  </si>
  <si>
    <t>CAMERON</t>
  </si>
  <si>
    <t>Deanna</t>
  </si>
  <si>
    <t>Eric</t>
  </si>
  <si>
    <t>Lucas</t>
  </si>
  <si>
    <t>Lyndon</t>
  </si>
  <si>
    <t>CAMPBELL</t>
  </si>
  <si>
    <t>April</t>
  </si>
  <si>
    <t>Carl</t>
  </si>
  <si>
    <t>CARROLL</t>
  </si>
  <si>
    <t>Justin</t>
  </si>
  <si>
    <t>Miranda</t>
  </si>
  <si>
    <t>Roman</t>
  </si>
  <si>
    <t>CARTER</t>
  </si>
  <si>
    <t>Dexter</t>
  </si>
  <si>
    <t>Isabella</t>
  </si>
  <si>
    <t>Wilson</t>
  </si>
  <si>
    <t>CASEY</t>
  </si>
  <si>
    <t>CHAPMAN</t>
  </si>
  <si>
    <t>Adelaide</t>
  </si>
  <si>
    <t>Arthur</t>
  </si>
  <si>
    <t>CLARK</t>
  </si>
  <si>
    <t>Miley</t>
  </si>
  <si>
    <t>COLE</t>
  </si>
  <si>
    <t>COOPER</t>
  </si>
  <si>
    <t>CRAIG</t>
  </si>
  <si>
    <t>Amber</t>
  </si>
  <si>
    <t>Jared</t>
  </si>
  <si>
    <t>Jordan</t>
  </si>
  <si>
    <t>Tiana</t>
  </si>
  <si>
    <t>CRAWFORD</t>
  </si>
  <si>
    <t>Sienna</t>
  </si>
  <si>
    <t>CUNNINGHAM</t>
  </si>
  <si>
    <t>Edward</t>
  </si>
  <si>
    <t>Preston</t>
  </si>
  <si>
    <t>DAVIS</t>
  </si>
  <si>
    <t>Maddie</t>
  </si>
  <si>
    <t>DIXON</t>
  </si>
  <si>
    <t>Adrian</t>
  </si>
  <si>
    <t>Alisa</t>
  </si>
  <si>
    <t>Emma</t>
  </si>
  <si>
    <t>Florrie</t>
  </si>
  <si>
    <t>DOUGLAS</t>
  </si>
  <si>
    <t>Carina</t>
  </si>
  <si>
    <t>Darcy</t>
  </si>
  <si>
    <t>Kirsten</t>
  </si>
  <si>
    <t>Maria</t>
  </si>
  <si>
    <t>EDWARDS</t>
  </si>
  <si>
    <t>Camila</t>
  </si>
  <si>
    <t>Jack</t>
  </si>
  <si>
    <t>Madaline</t>
  </si>
  <si>
    <t>ELLIOTT</t>
  </si>
  <si>
    <t>Belinda</t>
  </si>
  <si>
    <t>Haris</t>
  </si>
  <si>
    <t>Kevin</t>
  </si>
  <si>
    <t>Marcus</t>
  </si>
  <si>
    <t>ELLIS</t>
  </si>
  <si>
    <t>Sophia</t>
  </si>
  <si>
    <t>EVANS</t>
  </si>
  <si>
    <t>FARRELL</t>
  </si>
  <si>
    <t>Alina</t>
  </si>
  <si>
    <t>Michael</t>
  </si>
  <si>
    <t>FERGUSON</t>
  </si>
  <si>
    <t>Daniel</t>
  </si>
  <si>
    <t>FOSTER</t>
  </si>
  <si>
    <t>Aida</t>
  </si>
  <si>
    <t>Alissa</t>
  </si>
  <si>
    <t>Aston</t>
  </si>
  <si>
    <t>William</t>
  </si>
  <si>
    <t>FOWLER</t>
  </si>
  <si>
    <t>Amanda</t>
  </si>
  <si>
    <t>Daisy</t>
  </si>
  <si>
    <t>Frederick</t>
  </si>
  <si>
    <t>GIBSON</t>
  </si>
  <si>
    <t>Sofia</t>
  </si>
  <si>
    <t>GRANT</t>
  </si>
  <si>
    <t>Freddie</t>
  </si>
  <si>
    <t>Lucy</t>
  </si>
  <si>
    <t>GRAY</t>
  </si>
  <si>
    <t>Chelsea</t>
  </si>
  <si>
    <t>Kelsey</t>
  </si>
  <si>
    <t>Mary</t>
  </si>
  <si>
    <t>Victor</t>
  </si>
  <si>
    <t>HALL</t>
  </si>
  <si>
    <t>David</t>
  </si>
  <si>
    <t>Maya</t>
  </si>
  <si>
    <t>Vincent</t>
  </si>
  <si>
    <t>HAMILTON</t>
  </si>
  <si>
    <t>Abraham</t>
  </si>
  <si>
    <t>Albert</t>
  </si>
  <si>
    <t>HARPER</t>
  </si>
  <si>
    <t>Abigail</t>
  </si>
  <si>
    <t>Ada</t>
  </si>
  <si>
    <t>Leonardo</t>
  </si>
  <si>
    <t>HARRIS</t>
  </si>
  <si>
    <t>Arianna</t>
  </si>
  <si>
    <t>Garry</t>
  </si>
  <si>
    <t>Robert</t>
  </si>
  <si>
    <t>HARRISON</t>
  </si>
  <si>
    <t>Adison</t>
  </si>
  <si>
    <t>Elian</t>
  </si>
  <si>
    <t>Nicole</t>
  </si>
  <si>
    <t>HAWKINS</t>
  </si>
  <si>
    <t>Dominik</t>
  </si>
  <si>
    <t>Tony</t>
  </si>
  <si>
    <t>HENDERSON</t>
  </si>
  <si>
    <t>HIGGINS</t>
  </si>
  <si>
    <t>Thomas</t>
  </si>
  <si>
    <t>Vanessa</t>
  </si>
  <si>
    <t>HILL</t>
  </si>
  <si>
    <t>George</t>
  </si>
  <si>
    <t>Michelle</t>
  </si>
  <si>
    <t>HOLMES</t>
  </si>
  <si>
    <t>Alexander</t>
  </si>
  <si>
    <t>Tess</t>
  </si>
  <si>
    <t>HOWARD</t>
  </si>
  <si>
    <t>Heather</t>
  </si>
  <si>
    <t>Jasmine</t>
  </si>
  <si>
    <t>HUNT</t>
  </si>
  <si>
    <t>Ashton</t>
  </si>
  <si>
    <t>Clark</t>
  </si>
  <si>
    <t>JOHNSON</t>
  </si>
  <si>
    <t>Valeria</t>
  </si>
  <si>
    <t>JOHNSTON</t>
  </si>
  <si>
    <t>Adele</t>
  </si>
  <si>
    <t>Andrew</t>
  </si>
  <si>
    <t>JONES</t>
  </si>
  <si>
    <t>KELLEY</t>
  </si>
  <si>
    <t>KELLY</t>
  </si>
  <si>
    <t>LLOYD</t>
  </si>
  <si>
    <t>MARTIN</t>
  </si>
  <si>
    <t>Fiona</t>
  </si>
  <si>
    <t>Harold</t>
  </si>
  <si>
    <t>MASON</t>
  </si>
  <si>
    <t>Chloe</t>
  </si>
  <si>
    <t>Kate</t>
  </si>
  <si>
    <t>MILLER</t>
  </si>
  <si>
    <t>Steven</t>
  </si>
  <si>
    <t>MITCHELL</t>
  </si>
  <si>
    <t>Natalie</t>
  </si>
  <si>
    <t>MONTGOMERY</t>
  </si>
  <si>
    <t>Rebecca</t>
  </si>
  <si>
    <t>MOORE</t>
  </si>
  <si>
    <t>MORGAN</t>
  </si>
  <si>
    <t>Alan</t>
  </si>
  <si>
    <t>Paul</t>
  </si>
  <si>
    <t>MORRIS</t>
  </si>
  <si>
    <t>MORRISON</t>
  </si>
  <si>
    <t>MURPHY</t>
  </si>
  <si>
    <t>Henry</t>
  </si>
  <si>
    <t>Jenna</t>
  </si>
  <si>
    <t>Myra</t>
  </si>
  <si>
    <t>MURRAY</t>
  </si>
  <si>
    <t>MYERS</t>
  </si>
  <si>
    <t>Alford</t>
  </si>
  <si>
    <t>NELSON</t>
  </si>
  <si>
    <t>Brooke</t>
  </si>
  <si>
    <t>OWENS</t>
  </si>
  <si>
    <t>Agata</t>
  </si>
  <si>
    <t>PARKER</t>
  </si>
  <si>
    <t>Rosie</t>
  </si>
  <si>
    <t>PAYNE</t>
  </si>
  <si>
    <t>Bruce</t>
  </si>
  <si>
    <t>Ted</t>
  </si>
  <si>
    <t>PERKINS</t>
  </si>
  <si>
    <t>PERRY</t>
  </si>
  <si>
    <t>PHILLIPS</t>
  </si>
  <si>
    <t>REED</t>
  </si>
  <si>
    <t>RICHARDS</t>
  </si>
  <si>
    <t>Carlos</t>
  </si>
  <si>
    <t>RICHARDSON</t>
  </si>
  <si>
    <t>Oscar</t>
  </si>
  <si>
    <t>RILEY</t>
  </si>
  <si>
    <t>ROBERTS</t>
  </si>
  <si>
    <t>ROBINSON</t>
  </si>
  <si>
    <t>ROGERS</t>
  </si>
  <si>
    <t>Caroline</t>
  </si>
  <si>
    <t>ROSS</t>
  </si>
  <si>
    <t>Adam</t>
  </si>
  <si>
    <t>Roland</t>
  </si>
  <si>
    <t>RUSSELL</t>
  </si>
  <si>
    <t>Alberta</t>
  </si>
  <si>
    <t>Kellan</t>
  </si>
  <si>
    <t>RYAN</t>
  </si>
  <si>
    <t>Derek</t>
  </si>
  <si>
    <t>Vivian</t>
  </si>
  <si>
    <t>SCOTT</t>
  </si>
  <si>
    <t>Edwin</t>
  </si>
  <si>
    <t>Richard</t>
  </si>
  <si>
    <t>SMITH</t>
  </si>
  <si>
    <t>Maximilian</t>
  </si>
  <si>
    <t>SPENCER</t>
  </si>
  <si>
    <t>STEVENS</t>
  </si>
  <si>
    <t>STEWART</t>
  </si>
  <si>
    <t>Emily</t>
  </si>
  <si>
    <t>SULLIVAN</t>
  </si>
  <si>
    <t>Amy</t>
  </si>
  <si>
    <t>TAYLOR</t>
  </si>
  <si>
    <t>Blake</t>
  </si>
  <si>
    <t>THOMAS</t>
  </si>
  <si>
    <t>THOMPSON</t>
  </si>
  <si>
    <t>Penelope</t>
  </si>
  <si>
    <t>Spike</t>
  </si>
  <si>
    <t>TUCKER</t>
  </si>
  <si>
    <t>TURNER</t>
  </si>
  <si>
    <t>Alen</t>
  </si>
  <si>
    <t>Kristian</t>
  </si>
  <si>
    <t>WALKER</t>
  </si>
  <si>
    <t>WARREN</t>
  </si>
  <si>
    <t>Lydia</t>
  </si>
  <si>
    <t>WATSON</t>
  </si>
  <si>
    <t>Eleanor</t>
  </si>
  <si>
    <t>Sam</t>
  </si>
  <si>
    <t>WELLS</t>
  </si>
  <si>
    <t>WEST</t>
  </si>
  <si>
    <t>Daryl</t>
  </si>
  <si>
    <t>WILLIAMS</t>
  </si>
  <si>
    <t>WILSON</t>
  </si>
  <si>
    <t>WRIGHT</t>
  </si>
  <si>
    <t>Men - Survived</t>
  </si>
  <si>
    <t>Women - Survived</t>
  </si>
  <si>
    <t>Boys - Survived</t>
  </si>
  <si>
    <t>Girls - Survived</t>
  </si>
  <si>
    <t>Men - Died</t>
  </si>
  <si>
    <t>Women - Died</t>
  </si>
  <si>
    <t>Boys - Died</t>
  </si>
  <si>
    <t>Girls - Died</t>
  </si>
  <si>
    <t>First Class</t>
  </si>
  <si>
    <t>Second Class</t>
  </si>
  <si>
    <t>Third Class</t>
  </si>
  <si>
    <t>Men</t>
  </si>
  <si>
    <t>Women</t>
  </si>
  <si>
    <t>Boys</t>
  </si>
  <si>
    <t>Girls</t>
  </si>
  <si>
    <t>Minimum Area</t>
  </si>
  <si>
    <t>Percentage of Passenger Population</t>
  </si>
  <si>
    <t>Minimum Area for Passengers</t>
  </si>
  <si>
    <t>Figurine "Footprint"</t>
  </si>
  <si>
    <t>Height</t>
  </si>
  <si>
    <t>Width</t>
  </si>
  <si>
    <t>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</si>
</sst>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mm²&quot;"/>
    <numFmt numFmtId="165" formatCode="0.0&quot;mm&quot;"/>
  </numFmts>
  <fonts count="16">
    <font>
      <sz val="11.0"/>
      <color rgb="FF000000"/>
      <name val="Arial"/>
      <scheme val="minor"/>
    </font>
    <font>
      <b/>
      <sz val="11.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  <scheme val="minor"/>
    </font>
    <font>
      <color rgb="FFFFFFFF"/>
      <name val="Arial"/>
      <scheme val="minor"/>
    </font>
    <font>
      <b/>
      <sz val="12.0"/>
      <color theme="1"/>
      <name val="Arial"/>
      <scheme val="minor"/>
    </font>
    <font/>
    <font>
      <color rgb="FF00FF00"/>
      <name val="Arial"/>
      <scheme val="minor"/>
    </font>
    <font>
      <color rgb="FF000000"/>
      <name val="Arial"/>
      <scheme val="minor"/>
    </font>
    <font>
      <sz val="11.0"/>
      <color rgb="FF000000"/>
      <name val="Calibri"/>
    </font>
    <font>
      <color rgb="FFFF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434343"/>
        <bgColor rgb="FF434343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33">
    <border/>
    <border>
      <right style="medium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top style="thin">
        <color rgb="FF000000"/>
      </top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</border>
    <border>
      <right style="thick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6" numFmtId="0" xfId="0" applyFont="1"/>
    <xf borderId="0" fillId="0" fontId="7" numFmtId="1" xfId="0" applyAlignment="1" applyFont="1" applyNumberFormat="1">
      <alignment horizontal="center"/>
    </xf>
    <xf borderId="0" fillId="2" fontId="6" numFmtId="0" xfId="0" applyFill="1" applyFont="1"/>
    <xf borderId="0" fillId="0" fontId="6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3" fontId="9" numFmtId="0" xfId="0" applyFill="1" applyFont="1"/>
    <xf borderId="0" fillId="0" fontId="8" numFmtId="0" xfId="0" applyAlignment="1" applyFont="1">
      <alignment horizontal="center"/>
    </xf>
    <xf borderId="0" fillId="4" fontId="6" numFmtId="0" xfId="0" applyFill="1" applyFont="1"/>
    <xf borderId="0" fillId="0" fontId="7" numFmtId="1" xfId="0" applyFont="1" applyNumberFormat="1"/>
    <xf borderId="0" fillId="0" fontId="9" numFmtId="0" xfId="0" applyFont="1"/>
    <xf borderId="0" fillId="0" fontId="6" numFmtId="0" xfId="0" applyAlignment="1" applyFont="1">
      <alignment readingOrder="0"/>
    </xf>
    <xf borderId="0" fillId="0" fontId="7" numFmtId="1" xfId="0" applyAlignment="1" applyFont="1" applyNumberFormat="1">
      <alignment readingOrder="0"/>
    </xf>
    <xf borderId="1" fillId="0" fontId="10" numFmtId="10" xfId="0" applyAlignment="1" applyBorder="1" applyFont="1" applyNumberFormat="1">
      <alignment horizontal="center" vertical="center"/>
    </xf>
    <xf borderId="0" fillId="5" fontId="10" numFmtId="10" xfId="0" applyAlignment="1" applyFill="1" applyFont="1" applyNumberFormat="1">
      <alignment horizontal="center" readingOrder="0" vertical="center"/>
    </xf>
    <xf borderId="2" fillId="0" fontId="11" numFmtId="0" xfId="0" applyBorder="1" applyFont="1"/>
    <xf borderId="3" fillId="5" fontId="10" numFmtId="10" xfId="0" applyAlignment="1" applyBorder="1" applyFont="1" applyNumberFormat="1">
      <alignment horizontal="center" readingOrder="0" vertical="center"/>
    </xf>
    <xf borderId="0" fillId="0" fontId="10" numFmtId="10" xfId="0" applyAlignment="1" applyFont="1" applyNumberFormat="1">
      <alignment horizontal="center" vertical="center"/>
    </xf>
    <xf borderId="4" fillId="0" fontId="10" numFmtId="10" xfId="0" applyAlignment="1" applyBorder="1" applyFont="1" applyNumberFormat="1">
      <alignment horizontal="center" vertical="center"/>
    </xf>
    <xf borderId="5" fillId="5" fontId="10" numFmtId="10" xfId="0" applyAlignment="1" applyBorder="1" applyFont="1" applyNumberFormat="1">
      <alignment horizontal="center" readingOrder="0" vertical="center"/>
    </xf>
    <xf borderId="6" fillId="5" fontId="10" numFmtId="10" xfId="0" applyAlignment="1" applyBorder="1" applyFont="1" applyNumberFormat="1">
      <alignment horizontal="center" readingOrder="0" vertical="center"/>
    </xf>
    <xf borderId="7" fillId="5" fontId="4" numFmtId="0" xfId="0" applyAlignment="1" applyBorder="1" applyFont="1">
      <alignment horizontal="center" readingOrder="0" vertical="center"/>
    </xf>
    <xf borderId="0" fillId="0" fontId="12" numFmtId="9" xfId="0" applyAlignment="1" applyFont="1" applyNumberFormat="1">
      <alignment horizontal="center" vertical="center"/>
    </xf>
    <xf borderId="8" fillId="6" fontId="12" numFmtId="9" xfId="0" applyAlignment="1" applyBorder="1" applyFill="1" applyFont="1" applyNumberFormat="1">
      <alignment horizontal="center" vertical="center"/>
    </xf>
    <xf borderId="0" fillId="0" fontId="13" numFmtId="0" xfId="0" applyAlignment="1" applyFont="1">
      <alignment horizontal="center" readingOrder="0" vertical="center"/>
    </xf>
    <xf borderId="0" fillId="0" fontId="6" numFmtId="10" xfId="0" applyAlignment="1" applyFont="1" applyNumberFormat="1">
      <alignment horizontal="center" vertical="center"/>
    </xf>
    <xf borderId="9" fillId="5" fontId="4" numFmtId="0" xfId="0" applyAlignment="1" applyBorder="1" applyFont="1">
      <alignment horizontal="center" readingOrder="0" vertical="center"/>
    </xf>
    <xf borderId="10" fillId="6" fontId="12" numFmtId="9" xfId="0" applyAlignment="1" applyBorder="1" applyFont="1" applyNumberFormat="1">
      <alignment horizontal="center" vertical="center"/>
    </xf>
    <xf borderId="11" fillId="6" fontId="12" numFmtId="9" xfId="0" applyAlignment="1" applyBorder="1" applyFont="1" applyNumberFormat="1">
      <alignment horizontal="center" vertical="center"/>
    </xf>
    <xf borderId="12" fillId="6" fontId="12" numFmtId="9" xfId="0" applyAlignment="1" applyBorder="1" applyFont="1" applyNumberFormat="1">
      <alignment horizontal="center" vertical="center"/>
    </xf>
    <xf borderId="1" fillId="7" fontId="4" numFmtId="0" xfId="0" applyAlignment="1" applyBorder="1" applyFill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8" fillId="5" fontId="13" numFmtId="0" xfId="0" applyAlignment="1" applyBorder="1" applyFont="1">
      <alignment horizontal="center" vertical="center"/>
    </xf>
    <xf borderId="13" fillId="7" fontId="4" numFmtId="0" xfId="0" applyAlignment="1" applyBorder="1" applyFont="1">
      <alignment horizontal="center" readingOrder="0" vertical="center"/>
    </xf>
    <xf borderId="14" fillId="5" fontId="13" numFmtId="0" xfId="0" applyAlignment="1" applyBorder="1" applyFont="1">
      <alignment horizontal="center" vertical="center"/>
    </xf>
    <xf borderId="0" fillId="5" fontId="13" numFmtId="0" xfId="0" applyAlignment="1" applyFont="1">
      <alignment horizontal="center" vertical="center"/>
    </xf>
    <xf borderId="2" fillId="5" fontId="13" numFmtId="0" xfId="0" applyAlignment="1" applyBorder="1" applyFont="1">
      <alignment horizontal="center" vertical="center"/>
    </xf>
    <xf borderId="7" fillId="7" fontId="4" numFmtId="0" xfId="0" applyAlignment="1" applyBorder="1" applyFont="1">
      <alignment horizontal="center" readingOrder="0" vertical="center"/>
    </xf>
    <xf borderId="11" fillId="5" fontId="13" numFmtId="0" xfId="0" applyAlignment="1" applyBorder="1" applyFont="1">
      <alignment horizontal="center" vertical="center"/>
    </xf>
    <xf borderId="12" fillId="5" fontId="13" numFmtId="0" xfId="0" applyAlignment="1" applyBorder="1" applyFont="1">
      <alignment horizontal="center" vertical="center"/>
    </xf>
    <xf borderId="0" fillId="0" fontId="6" numFmtId="9" xfId="0" applyFont="1" applyNumberFormat="1"/>
    <xf borderId="0" fillId="0" fontId="4" numFmtId="10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readingOrder="0" shrinkToFit="0" wrapText="0"/>
    </xf>
    <xf borderId="0" fillId="0" fontId="6" numFmtId="0" xfId="0" applyFont="1"/>
    <xf borderId="0" fillId="0" fontId="7" numFmtId="0" xfId="0" applyAlignment="1" applyFont="1">
      <alignment horizontal="center" vertical="bottom"/>
    </xf>
    <xf borderId="0" fillId="0" fontId="7" numFmtId="1" xfId="0" applyAlignment="1" applyFont="1" applyNumberFormat="1">
      <alignment horizontal="center" vertical="bottom"/>
    </xf>
    <xf borderId="0" fillId="0" fontId="6" numFmtId="1" xfId="0" applyAlignment="1" applyFont="1" applyNumberFormat="1">
      <alignment horizontal="center"/>
    </xf>
    <xf borderId="0" fillId="0" fontId="6" numFmtId="0" xfId="0" applyAlignment="1" applyFont="1">
      <alignment horizontal="center" readingOrder="0"/>
    </xf>
    <xf borderId="0" fillId="0" fontId="7" numFmtId="1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 vertical="bottom"/>
    </xf>
    <xf borderId="0" fillId="0" fontId="14" numFmtId="0" xfId="0" applyAlignment="1" applyFont="1">
      <alignment horizontal="center" vertical="bottom"/>
    </xf>
    <xf borderId="0" fillId="0" fontId="6" numFmtId="0" xfId="0" applyAlignment="1" applyFont="1">
      <alignment shrinkToFit="0" wrapText="0"/>
    </xf>
    <xf borderId="15" fillId="6" fontId="4" numFmtId="0" xfId="0" applyBorder="1" applyFont="1"/>
    <xf borderId="16" fillId="6" fontId="4" numFmtId="0" xfId="0" applyAlignment="1" applyBorder="1" applyFont="1">
      <alignment horizontal="center" readingOrder="0"/>
    </xf>
    <xf borderId="16" fillId="6" fontId="4" numFmtId="0" xfId="0" applyBorder="1" applyFont="1"/>
    <xf borderId="17" fillId="6" fontId="4" numFmtId="0" xfId="0" applyAlignment="1" applyBorder="1" applyFont="1">
      <alignment readingOrder="0"/>
    </xf>
    <xf borderId="0" fillId="8" fontId="9" numFmtId="0" xfId="0" applyAlignment="1" applyFill="1" applyFont="1">
      <alignment horizontal="center"/>
    </xf>
    <xf borderId="0" fillId="8" fontId="15" numFmtId="0" xfId="0" applyAlignment="1" applyFont="1">
      <alignment horizontal="center"/>
    </xf>
    <xf borderId="0" fillId="9" fontId="6" numFmtId="0" xfId="0" applyFill="1" applyFont="1"/>
    <xf borderId="18" fillId="6" fontId="4" numFmtId="0" xfId="0" applyBorder="1" applyFont="1"/>
    <xf borderId="14" fillId="10" fontId="6" numFmtId="0" xfId="0" applyAlignment="1" applyBorder="1" applyFill="1" applyFont="1">
      <alignment horizontal="center"/>
    </xf>
    <xf borderId="14" fillId="9" fontId="6" numFmtId="0" xfId="0" applyBorder="1" applyFont="1"/>
    <xf borderId="14" fillId="10" fontId="6" numFmtId="0" xfId="0" applyBorder="1" applyFont="1"/>
    <xf borderId="17" fillId="6" fontId="4" numFmtId="0" xfId="0" applyBorder="1" applyFont="1"/>
    <xf borderId="19" fillId="0" fontId="6" numFmtId="0" xfId="0" applyBorder="1" applyFont="1"/>
    <xf borderId="20" fillId="0" fontId="6" numFmtId="0" xfId="0" applyAlignment="1" applyBorder="1" applyFont="1">
      <alignment horizontal="center" readingOrder="0"/>
    </xf>
    <xf borderId="21" fillId="0" fontId="6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22" fillId="0" fontId="6" numFmtId="0" xfId="0" applyAlignment="1" applyBorder="1" applyFont="1">
      <alignment horizontal="center"/>
    </xf>
    <xf borderId="23" fillId="0" fontId="6" numFmtId="0" xfId="0" applyAlignment="1" applyBorder="1" applyFont="1">
      <alignment horizontal="center" readingOrder="0" shrinkToFit="0" wrapText="1"/>
    </xf>
    <xf borderId="24" fillId="0" fontId="6" numFmtId="0" xfId="0" applyAlignment="1" applyBorder="1" applyFont="1">
      <alignment readingOrder="0" shrinkToFit="0" vertical="center" wrapText="1"/>
    </xf>
    <xf borderId="2" fillId="9" fontId="6" numFmtId="0" xfId="0" applyAlignment="1" applyBorder="1" applyFont="1">
      <alignment horizontal="center" readingOrder="0"/>
    </xf>
    <xf borderId="0" fillId="9" fontId="6" numFmtId="0" xfId="0" applyAlignment="1" applyFont="1">
      <alignment horizontal="center"/>
    </xf>
    <xf borderId="1" fillId="9" fontId="6" numFmtId="0" xfId="0" applyAlignment="1" applyBorder="1" applyFont="1">
      <alignment horizontal="center"/>
    </xf>
    <xf borderId="1" fillId="9" fontId="6" numFmtId="164" xfId="0" applyAlignment="1" applyBorder="1" applyFont="1" applyNumberFormat="1">
      <alignment horizontal="center"/>
    </xf>
    <xf borderId="25" fillId="9" fontId="6" numFmtId="10" xfId="0" applyAlignment="1" applyBorder="1" applyFont="1" applyNumberFormat="1">
      <alignment horizontal="center"/>
    </xf>
    <xf borderId="26" fillId="0" fontId="6" numFmtId="164" xfId="0" applyAlignment="1" applyBorder="1" applyFont="1" applyNumberFormat="1">
      <alignment horizontal="center" vertical="center"/>
    </xf>
    <xf borderId="2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1" fillId="0" fontId="6" numFmtId="164" xfId="0" applyAlignment="1" applyBorder="1" applyFont="1" applyNumberFormat="1">
      <alignment horizontal="center"/>
    </xf>
    <xf borderId="25" fillId="0" fontId="6" numFmtId="10" xfId="0" applyAlignment="1" applyBorder="1" applyFont="1" applyNumberFormat="1">
      <alignment horizontal="center"/>
    </xf>
    <xf borderId="1" fillId="0" fontId="11" numFmtId="0" xfId="0" applyBorder="1" applyFont="1"/>
    <xf borderId="27" fillId="9" fontId="6" numFmtId="0" xfId="0" applyAlignment="1" applyBorder="1" applyFont="1">
      <alignment horizontal="center"/>
    </xf>
    <xf borderId="22" fillId="9" fontId="6" numFmtId="10" xfId="0" applyAlignment="1" applyBorder="1" applyFont="1" applyNumberFormat="1">
      <alignment horizontal="center"/>
    </xf>
    <xf borderId="4" fillId="0" fontId="11" numFmtId="0" xfId="0" applyBorder="1" applyFont="1"/>
    <xf borderId="0" fillId="6" fontId="4" numFmtId="0" xfId="0" applyFont="1"/>
    <xf borderId="28" fillId="0" fontId="6" numFmtId="0" xfId="0" applyAlignment="1" applyBorder="1" applyFont="1">
      <alignment horizontal="center" readingOrder="0"/>
    </xf>
    <xf borderId="29" fillId="0" fontId="6" numFmtId="0" xfId="0" applyAlignment="1" applyBorder="1" applyFont="1">
      <alignment horizontal="center"/>
    </xf>
    <xf borderId="30" fillId="0" fontId="6" numFmtId="0" xfId="0" applyAlignment="1" applyBorder="1" applyFont="1">
      <alignment horizontal="center"/>
    </xf>
    <xf borderId="30" fillId="0" fontId="6" numFmtId="164" xfId="0" applyAlignment="1" applyBorder="1" applyFont="1" applyNumberFormat="1">
      <alignment horizontal="center"/>
    </xf>
    <xf borderId="31" fillId="0" fontId="6" numFmtId="0" xfId="0" applyBorder="1" applyFont="1"/>
    <xf borderId="20" fillId="0" fontId="11" numFmtId="0" xfId="0" applyBorder="1" applyFont="1"/>
    <xf borderId="21" fillId="0" fontId="11" numFmtId="0" xfId="0" applyBorder="1" applyFont="1"/>
    <xf borderId="2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32" fillId="0" fontId="6" numFmtId="0" xfId="0" applyAlignment="1" applyBorder="1" applyFont="1">
      <alignment horizontal="center" readingOrder="0"/>
    </xf>
    <xf borderId="14" fillId="0" fontId="6" numFmtId="165" xfId="0" applyAlignment="1" applyBorder="1" applyFont="1" applyNumberFormat="1">
      <alignment horizontal="center" readingOrder="0"/>
    </xf>
    <xf borderId="13" fillId="0" fontId="6" numFmtId="165" xfId="0" applyAlignment="1" applyBorder="1" applyFont="1" applyNumberFormat="1">
      <alignment horizontal="center" readingOrder="0"/>
    </xf>
    <xf borderId="0" fillId="0" fontId="6" numFmtId="165" xfId="0" applyAlignment="1" applyFont="1" applyNumberFormat="1">
      <alignment horizontal="center" readingOrder="0"/>
    </xf>
    <xf borderId="1" fillId="0" fontId="6" numFmtId="165" xfId="0" applyAlignment="1" applyBorder="1" applyFont="1" applyNumberFormat="1">
      <alignment horizontal="center" readingOrder="0"/>
    </xf>
    <xf borderId="5" fillId="0" fontId="6" numFmtId="0" xfId="0" applyAlignment="1" applyBorder="1" applyFont="1">
      <alignment horizontal="center" readingOrder="0"/>
    </xf>
    <xf borderId="27" fillId="0" fontId="6" numFmtId="165" xfId="0" applyAlignment="1" applyBorder="1" applyFont="1" applyNumberFormat="1">
      <alignment horizontal="center"/>
    </xf>
    <xf borderId="4" fillId="0" fontId="6" numFmtId="165" xfId="0" applyAlignment="1" applyBorder="1" applyFont="1" applyNumberFormat="1">
      <alignment horizontal="center"/>
    </xf>
  </cellXfs>
  <cellStyles count="1">
    <cellStyle xfId="0" name="Normal" builtinId="0"/>
  </cellStyles>
  <dxfs count="6">
    <dxf>
      <font>
        <color rgb="FF6AA84F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F1C232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tableStyles count="1">
    <tableStyle count="2" pivot="0" name="Survival Rates-style"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942975</xdr:colOff>
      <xdr:row>19</xdr:row>
      <xdr:rowOff>76200</xdr:rowOff>
    </xdr:from>
    <xdr:ext cx="5715000" cy="3533775"/>
    <xdr:pic>
      <xdr:nvPicPr>
        <xdr:cNvPr id="110414006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942975</xdr:colOff>
      <xdr:row>1</xdr:row>
      <xdr:rowOff>0</xdr:rowOff>
    </xdr:from>
    <xdr:ext cx="5715000" cy="3533775"/>
    <xdr:pic>
      <xdr:nvPicPr>
        <xdr:cNvPr id="1274080797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942975</xdr:colOff>
      <xdr:row>37</xdr:row>
      <xdr:rowOff>9525</xdr:rowOff>
    </xdr:from>
    <xdr:ext cx="5715000" cy="3533775"/>
    <xdr:pic>
      <xdr:nvPicPr>
        <xdr:cNvPr id="2023502726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8:M17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urvival Ra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7.25"/>
    <col customWidth="1" min="2" max="2" width="4.75"/>
    <col customWidth="1" min="3" max="3" width="5.25"/>
    <col customWidth="1" min="4" max="4" width="16.25"/>
    <col customWidth="1" min="5" max="5" width="8.25"/>
    <col customWidth="1" min="6" max="6" width="16.5"/>
    <col customWidth="1" min="7" max="7" width="10.63"/>
    <col customWidth="1" min="8" max="8" width="9.5"/>
    <col customWidth="1" min="9" max="9" width="18.88"/>
  </cols>
  <sheetData>
    <row r="1">
      <c r="A1" s="1" t="str">
        <f>HYPERLINK("https://www.encyclopedia-titanica.org/titanic-victim/-name.html","Name")</f>
        <v>Name</v>
      </c>
      <c r="B1" s="2" t="s">
        <v>0</v>
      </c>
      <c r="C1" s="3" t="s">
        <v>1</v>
      </c>
      <c r="D1" s="4" t="s">
        <v>2</v>
      </c>
      <c r="E1" s="3" t="s">
        <v>3</v>
      </c>
      <c r="F1" s="3" t="s">
        <v>4</v>
      </c>
      <c r="G1" s="4" t="s">
        <v>5</v>
      </c>
      <c r="H1" s="4" t="s">
        <v>6</v>
      </c>
      <c r="I1" s="5" t="s">
        <v>7</v>
      </c>
      <c r="J1" s="6" t="s">
        <v>8</v>
      </c>
      <c r="K1" s="7" t="s">
        <v>9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>
      <c r="A2" s="9" t="s">
        <v>10</v>
      </c>
      <c r="B2" s="9">
        <v>1866.0</v>
      </c>
      <c r="C2" s="9">
        <v>1929.0</v>
      </c>
      <c r="D2" s="10">
        <v>46.0</v>
      </c>
      <c r="E2" s="11" t="s">
        <v>11</v>
      </c>
      <c r="G2" s="9" t="s">
        <v>12</v>
      </c>
      <c r="H2" s="9" t="s">
        <v>13</v>
      </c>
      <c r="I2" s="12"/>
      <c r="J2" s="13">
        <v>0.0</v>
      </c>
      <c r="K2" s="14" t="s">
        <v>14</v>
      </c>
    </row>
    <row r="3">
      <c r="A3" s="9" t="s">
        <v>15</v>
      </c>
      <c r="B3" s="9">
        <v>1869.0</v>
      </c>
      <c r="C3" s="9">
        <v>1940.0</v>
      </c>
      <c r="D3" s="10">
        <v>43.0</v>
      </c>
      <c r="E3" s="11" t="s">
        <v>11</v>
      </c>
      <c r="F3" s="9" t="s">
        <v>16</v>
      </c>
      <c r="G3" s="9" t="s">
        <v>12</v>
      </c>
      <c r="H3" s="9" t="s">
        <v>13</v>
      </c>
      <c r="I3" s="12"/>
      <c r="J3" s="13">
        <v>0.0</v>
      </c>
      <c r="K3" s="14" t="s">
        <v>14</v>
      </c>
    </row>
    <row r="4">
      <c r="A4" s="9" t="s">
        <v>17</v>
      </c>
      <c r="B4" s="9">
        <v>1845.0</v>
      </c>
      <c r="C4" s="9">
        <v>1912.0</v>
      </c>
      <c r="D4" s="10">
        <v>67.0</v>
      </c>
      <c r="E4" s="11" t="s">
        <v>11</v>
      </c>
      <c r="F4" s="9" t="s">
        <v>16</v>
      </c>
      <c r="G4" s="9" t="s">
        <v>18</v>
      </c>
      <c r="H4" s="15" t="s">
        <v>19</v>
      </c>
      <c r="I4" s="12"/>
      <c r="J4" s="16"/>
      <c r="K4" s="14" t="s">
        <v>20</v>
      </c>
    </row>
    <row r="5">
      <c r="A5" s="9" t="s">
        <v>21</v>
      </c>
      <c r="B5" s="9">
        <v>1891.0</v>
      </c>
      <c r="C5" s="9">
        <v>1928.0</v>
      </c>
      <c r="D5" s="10">
        <v>21.0</v>
      </c>
      <c r="E5" s="11" t="s">
        <v>11</v>
      </c>
      <c r="F5" s="9" t="s">
        <v>16</v>
      </c>
      <c r="G5" s="9" t="s">
        <v>22</v>
      </c>
      <c r="H5" s="9" t="s">
        <v>13</v>
      </c>
      <c r="I5" s="9" t="s">
        <v>23</v>
      </c>
      <c r="J5" s="16"/>
      <c r="K5" s="14" t="s">
        <v>24</v>
      </c>
    </row>
    <row r="6">
      <c r="A6" s="9" t="s">
        <v>25</v>
      </c>
      <c r="B6" s="9">
        <v>1887.0</v>
      </c>
      <c r="C6" s="9">
        <v>1912.0</v>
      </c>
      <c r="D6" s="10">
        <v>25.0</v>
      </c>
      <c r="E6" s="11" t="s">
        <v>11</v>
      </c>
      <c r="F6" s="9" t="s">
        <v>26</v>
      </c>
      <c r="G6" s="9" t="s">
        <v>22</v>
      </c>
      <c r="H6" s="15" t="s">
        <v>19</v>
      </c>
      <c r="I6" s="9" t="s">
        <v>27</v>
      </c>
      <c r="J6" s="16"/>
      <c r="K6" s="14" t="s">
        <v>24</v>
      </c>
    </row>
    <row r="7">
      <c r="A7" s="9" t="s">
        <v>28</v>
      </c>
      <c r="B7" s="9">
        <v>1870.0</v>
      </c>
      <c r="C7" s="9">
        <v>1912.0</v>
      </c>
      <c r="D7" s="10">
        <v>42.0</v>
      </c>
      <c r="E7" s="11" t="s">
        <v>11</v>
      </c>
      <c r="F7" s="9" t="s">
        <v>26</v>
      </c>
      <c r="G7" s="9" t="s">
        <v>22</v>
      </c>
      <c r="H7" s="15" t="s">
        <v>19</v>
      </c>
      <c r="I7" s="9" t="s">
        <v>27</v>
      </c>
      <c r="J7" s="16"/>
      <c r="K7" s="14" t="s">
        <v>14</v>
      </c>
    </row>
    <row r="8">
      <c r="A8" s="9" t="s">
        <v>29</v>
      </c>
      <c r="B8" s="9">
        <v>1906.0</v>
      </c>
      <c r="C8" s="9">
        <v>1963.0</v>
      </c>
      <c r="D8" s="10">
        <v>6.0</v>
      </c>
      <c r="E8" s="17" t="s">
        <v>30</v>
      </c>
      <c r="F8" s="9" t="s">
        <v>26</v>
      </c>
      <c r="G8" s="9" t="s">
        <v>12</v>
      </c>
      <c r="H8" s="9" t="s">
        <v>13</v>
      </c>
      <c r="I8" s="12"/>
      <c r="J8" s="13">
        <v>0.0</v>
      </c>
      <c r="K8" s="14" t="s">
        <v>31</v>
      </c>
    </row>
    <row r="9">
      <c r="A9" s="9" t="s">
        <v>32</v>
      </c>
      <c r="B9" s="9">
        <v>1860.0</v>
      </c>
      <c r="C9" s="9">
        <v>1969.0</v>
      </c>
      <c r="D9" s="10">
        <v>52.0</v>
      </c>
      <c r="E9" s="17" t="s">
        <v>30</v>
      </c>
      <c r="F9" s="9" t="s">
        <v>26</v>
      </c>
      <c r="G9" s="9" t="s">
        <v>33</v>
      </c>
      <c r="H9" s="9" t="s">
        <v>13</v>
      </c>
      <c r="I9" s="12"/>
      <c r="J9" s="13">
        <v>0.0</v>
      </c>
      <c r="K9" s="14" t="s">
        <v>14</v>
      </c>
    </row>
    <row r="10">
      <c r="A10" s="9" t="s">
        <v>34</v>
      </c>
      <c r="B10" s="9">
        <v>1884.0</v>
      </c>
      <c r="C10" s="9">
        <v>1956.0</v>
      </c>
      <c r="D10" s="10">
        <v>28.0</v>
      </c>
      <c r="E10" s="17" t="s">
        <v>30</v>
      </c>
      <c r="F10" s="9" t="s">
        <v>26</v>
      </c>
      <c r="G10" s="9" t="s">
        <v>22</v>
      </c>
      <c r="H10" s="9" t="s">
        <v>13</v>
      </c>
      <c r="I10" s="9" t="s">
        <v>35</v>
      </c>
      <c r="J10" s="16"/>
      <c r="K10" s="14" t="s">
        <v>24</v>
      </c>
    </row>
    <row r="11">
      <c r="A11" s="9" t="s">
        <v>36</v>
      </c>
      <c r="B11" s="9">
        <v>1877.0</v>
      </c>
      <c r="C11" s="9">
        <v>1921.0</v>
      </c>
      <c r="D11" s="10">
        <v>35.0</v>
      </c>
      <c r="E11" s="17" t="s">
        <v>30</v>
      </c>
      <c r="F11" s="9" t="s">
        <v>26</v>
      </c>
      <c r="G11" s="9" t="s">
        <v>12</v>
      </c>
      <c r="H11" s="9" t="s">
        <v>13</v>
      </c>
      <c r="J11" s="13">
        <v>0.0</v>
      </c>
      <c r="K11" s="14" t="s">
        <v>24</v>
      </c>
    </row>
    <row r="12">
      <c r="A12" s="9" t="s">
        <v>37</v>
      </c>
      <c r="B12" s="9">
        <v>1905.0</v>
      </c>
      <c r="C12" s="9">
        <v>1912.0</v>
      </c>
      <c r="D12" s="10">
        <v>7.0</v>
      </c>
      <c r="E12" s="11" t="s">
        <v>11</v>
      </c>
      <c r="F12" s="9" t="s">
        <v>16</v>
      </c>
      <c r="G12" s="9" t="s">
        <v>33</v>
      </c>
      <c r="H12" s="15" t="s">
        <v>19</v>
      </c>
      <c r="I12" s="12"/>
      <c r="J12" s="16"/>
      <c r="K12" s="14" t="s">
        <v>31</v>
      </c>
    </row>
    <row r="13">
      <c r="A13" s="9" t="s">
        <v>38</v>
      </c>
      <c r="B13" s="9">
        <v>1879.0</v>
      </c>
      <c r="C13" s="9">
        <v>1912.0</v>
      </c>
      <c r="D13" s="10">
        <v>33.0</v>
      </c>
      <c r="E13" s="11" t="s">
        <v>11</v>
      </c>
      <c r="F13" s="9" t="s">
        <v>16</v>
      </c>
      <c r="G13" s="9" t="s">
        <v>12</v>
      </c>
      <c r="H13" s="15" t="s">
        <v>19</v>
      </c>
      <c r="I13" s="12"/>
      <c r="J13" s="13">
        <v>0.0</v>
      </c>
      <c r="K13" s="14" t="s">
        <v>24</v>
      </c>
    </row>
    <row r="14">
      <c r="A14" s="9" t="s">
        <v>39</v>
      </c>
      <c r="B14" s="9">
        <v>1888.0</v>
      </c>
      <c r="C14" s="9">
        <v>1912.0</v>
      </c>
      <c r="D14" s="10">
        <v>24.0</v>
      </c>
      <c r="E14" s="11" t="s">
        <v>11</v>
      </c>
      <c r="F14" s="9" t="s">
        <v>26</v>
      </c>
      <c r="G14" s="9" t="s">
        <v>22</v>
      </c>
      <c r="H14" s="15" t="s">
        <v>19</v>
      </c>
      <c r="I14" s="9" t="s">
        <v>40</v>
      </c>
      <c r="J14" s="16"/>
      <c r="K14" s="14" t="s">
        <v>24</v>
      </c>
    </row>
    <row r="15">
      <c r="A15" s="9" t="s">
        <v>41</v>
      </c>
      <c r="B15" s="9">
        <v>1863.0</v>
      </c>
      <c r="C15" s="9">
        <v>1912.0</v>
      </c>
      <c r="D15" s="10">
        <v>49.0</v>
      </c>
      <c r="E15" s="11" t="s">
        <v>11</v>
      </c>
      <c r="F15" s="9" t="s">
        <v>26</v>
      </c>
      <c r="G15" s="9" t="s">
        <v>33</v>
      </c>
      <c r="H15" s="15" t="s">
        <v>19</v>
      </c>
      <c r="I15" s="12"/>
      <c r="J15" s="16"/>
      <c r="K15" s="14" t="s">
        <v>14</v>
      </c>
    </row>
    <row r="16">
      <c r="A16" s="9" t="s">
        <v>42</v>
      </c>
      <c r="B16" s="9">
        <v>1864.0</v>
      </c>
      <c r="C16" s="9">
        <v>1912.0</v>
      </c>
      <c r="D16" s="10">
        <v>48.0</v>
      </c>
      <c r="E16" s="11" t="s">
        <v>11</v>
      </c>
      <c r="F16" s="9" t="s">
        <v>26</v>
      </c>
      <c r="G16" s="9" t="s">
        <v>22</v>
      </c>
      <c r="H16" s="15" t="s">
        <v>19</v>
      </c>
      <c r="I16" s="9" t="s">
        <v>27</v>
      </c>
      <c r="J16" s="16"/>
      <c r="K16" s="14" t="s">
        <v>14</v>
      </c>
    </row>
    <row r="17">
      <c r="A17" s="9" t="s">
        <v>43</v>
      </c>
      <c r="B17" s="9">
        <v>1895.0</v>
      </c>
      <c r="C17" s="9">
        <v>1912.0</v>
      </c>
      <c r="D17" s="10">
        <v>17.0</v>
      </c>
      <c r="E17" s="11" t="s">
        <v>11</v>
      </c>
      <c r="F17" s="9" t="s">
        <v>44</v>
      </c>
      <c r="G17" s="9" t="s">
        <v>12</v>
      </c>
      <c r="H17" s="15" t="s">
        <v>19</v>
      </c>
      <c r="I17" s="12"/>
      <c r="J17" s="13">
        <v>0.0</v>
      </c>
      <c r="K17" s="14" t="s">
        <v>31</v>
      </c>
    </row>
    <row r="18">
      <c r="A18" s="9" t="s">
        <v>45</v>
      </c>
      <c r="B18" s="9">
        <v>1847.0</v>
      </c>
      <c r="C18" s="9">
        <v>1912.0</v>
      </c>
      <c r="D18" s="10">
        <v>65.0</v>
      </c>
      <c r="E18" s="11" t="s">
        <v>11</v>
      </c>
      <c r="G18" s="9" t="s">
        <v>33</v>
      </c>
      <c r="H18" s="15" t="s">
        <v>19</v>
      </c>
      <c r="J18" s="16"/>
      <c r="K18" s="14" t="s">
        <v>20</v>
      </c>
    </row>
    <row r="19">
      <c r="A19" s="9" t="s">
        <v>46</v>
      </c>
      <c r="B19" s="9">
        <v>1874.0</v>
      </c>
      <c r="C19" s="9">
        <v>1912.0</v>
      </c>
      <c r="D19" s="10">
        <v>38.0</v>
      </c>
      <c r="E19" s="11" t="s">
        <v>11</v>
      </c>
      <c r="F19" s="9" t="s">
        <v>47</v>
      </c>
      <c r="G19" s="9" t="s">
        <v>12</v>
      </c>
      <c r="H19" s="15" t="s">
        <v>19</v>
      </c>
      <c r="J19" s="13">
        <v>0.0</v>
      </c>
      <c r="K19" s="14" t="s">
        <v>24</v>
      </c>
    </row>
    <row r="20" ht="15.75" customHeight="1">
      <c r="A20" s="9" t="s">
        <v>48</v>
      </c>
      <c r="B20" s="9">
        <v>1877.0</v>
      </c>
      <c r="C20" s="9">
        <v>1912.0</v>
      </c>
      <c r="D20" s="10">
        <v>35.0</v>
      </c>
      <c r="E20" s="11" t="s">
        <v>11</v>
      </c>
      <c r="F20" s="9" t="s">
        <v>16</v>
      </c>
      <c r="G20" s="9" t="s">
        <v>22</v>
      </c>
      <c r="H20" s="15" t="s">
        <v>19</v>
      </c>
      <c r="I20" s="9" t="s">
        <v>27</v>
      </c>
      <c r="J20" s="16"/>
      <c r="K20" s="14" t="s">
        <v>24</v>
      </c>
    </row>
    <row r="21" ht="15.75" customHeight="1">
      <c r="A21" s="9" t="s">
        <v>49</v>
      </c>
      <c r="B21" s="9">
        <v>1881.0</v>
      </c>
      <c r="C21" s="9">
        <v>1949.0</v>
      </c>
      <c r="D21" s="10">
        <v>31.0</v>
      </c>
      <c r="E21" s="11" t="s">
        <v>11</v>
      </c>
      <c r="F21" s="9" t="s">
        <v>26</v>
      </c>
      <c r="G21" s="9" t="s">
        <v>12</v>
      </c>
      <c r="H21" s="9" t="s">
        <v>13</v>
      </c>
      <c r="J21" s="13">
        <v>0.0</v>
      </c>
      <c r="K21" s="14" t="s">
        <v>24</v>
      </c>
    </row>
    <row r="22" ht="15.75" customHeight="1">
      <c r="A22" s="9" t="s">
        <v>50</v>
      </c>
      <c r="B22" s="9">
        <v>1849.0</v>
      </c>
      <c r="C22" s="9">
        <v>1927.0</v>
      </c>
      <c r="D22" s="10">
        <v>63.0</v>
      </c>
      <c r="E22" s="17" t="s">
        <v>30</v>
      </c>
      <c r="F22" s="9" t="s">
        <v>47</v>
      </c>
      <c r="G22" s="9" t="s">
        <v>12</v>
      </c>
      <c r="H22" s="9" t="s">
        <v>13</v>
      </c>
      <c r="I22" s="12"/>
      <c r="J22" s="13">
        <v>0.0</v>
      </c>
      <c r="K22" s="14" t="s">
        <v>20</v>
      </c>
    </row>
    <row r="23" ht="15.75" customHeight="1">
      <c r="A23" s="9" t="s">
        <v>51</v>
      </c>
      <c r="B23" s="9">
        <v>1862.0</v>
      </c>
      <c r="C23" s="9">
        <v>1968.0</v>
      </c>
      <c r="D23" s="10">
        <v>50.0</v>
      </c>
      <c r="E23" s="11" t="s">
        <v>11</v>
      </c>
      <c r="F23" s="9" t="s">
        <v>26</v>
      </c>
      <c r="G23" s="9" t="s">
        <v>22</v>
      </c>
      <c r="H23" s="9" t="s">
        <v>13</v>
      </c>
      <c r="I23" s="9" t="s">
        <v>40</v>
      </c>
      <c r="J23" s="13">
        <v>0.0</v>
      </c>
      <c r="K23" s="14" t="s">
        <v>14</v>
      </c>
    </row>
    <row r="24" ht="15.75" customHeight="1">
      <c r="A24" s="9" t="s">
        <v>52</v>
      </c>
      <c r="B24" s="9">
        <v>1864.0</v>
      </c>
      <c r="C24" s="9">
        <v>1912.0</v>
      </c>
      <c r="D24" s="10">
        <v>48.0</v>
      </c>
      <c r="E24" s="11" t="s">
        <v>11</v>
      </c>
      <c r="F24" s="9" t="s">
        <v>47</v>
      </c>
      <c r="G24" s="9" t="s">
        <v>18</v>
      </c>
      <c r="H24" s="15" t="s">
        <v>19</v>
      </c>
      <c r="I24" s="12"/>
      <c r="J24" s="13">
        <v>0.0</v>
      </c>
      <c r="K24" s="14" t="s">
        <v>14</v>
      </c>
    </row>
    <row r="25" ht="15.75" customHeight="1">
      <c r="A25" s="9" t="s">
        <v>53</v>
      </c>
      <c r="B25" s="9">
        <v>1870.0</v>
      </c>
      <c r="C25" s="9">
        <v>1912.0</v>
      </c>
      <c r="D25" s="10">
        <v>42.0</v>
      </c>
      <c r="E25" s="11" t="s">
        <v>11</v>
      </c>
      <c r="F25" s="9" t="s">
        <v>26</v>
      </c>
      <c r="G25" s="9" t="s">
        <v>18</v>
      </c>
      <c r="H25" s="15" t="s">
        <v>19</v>
      </c>
      <c r="J25" s="13">
        <v>0.0</v>
      </c>
      <c r="K25" s="14" t="s">
        <v>14</v>
      </c>
    </row>
    <row r="26" ht="15.75" customHeight="1">
      <c r="A26" s="9" t="s">
        <v>54</v>
      </c>
      <c r="B26" s="9">
        <v>1882.0</v>
      </c>
      <c r="C26" s="9">
        <v>1912.0</v>
      </c>
      <c r="D26" s="10">
        <v>30.0</v>
      </c>
      <c r="E26" s="11" t="s">
        <v>11</v>
      </c>
      <c r="F26" s="9" t="s">
        <v>16</v>
      </c>
      <c r="G26" s="9" t="s">
        <v>22</v>
      </c>
      <c r="H26" s="15" t="s">
        <v>19</v>
      </c>
      <c r="I26" s="9" t="s">
        <v>27</v>
      </c>
      <c r="J26" s="16"/>
      <c r="K26" s="14" t="s">
        <v>24</v>
      </c>
    </row>
    <row r="27" ht="15.75" customHeight="1">
      <c r="A27" s="9" t="s">
        <v>55</v>
      </c>
      <c r="B27" s="9">
        <v>1907.0</v>
      </c>
      <c r="C27" s="9">
        <v>1951.0</v>
      </c>
      <c r="D27" s="10">
        <v>5.0</v>
      </c>
      <c r="E27" s="11" t="s">
        <v>11</v>
      </c>
      <c r="F27" s="9" t="s">
        <v>16</v>
      </c>
      <c r="G27" s="9" t="s">
        <v>12</v>
      </c>
      <c r="H27" s="9" t="s">
        <v>13</v>
      </c>
      <c r="I27" s="12"/>
      <c r="J27" s="16"/>
      <c r="K27" s="14" t="s">
        <v>31</v>
      </c>
    </row>
    <row r="28" ht="15.75" customHeight="1">
      <c r="A28" s="9" t="s">
        <v>56</v>
      </c>
      <c r="B28" s="9">
        <v>1864.0</v>
      </c>
      <c r="C28" s="9">
        <v>1912.0</v>
      </c>
      <c r="D28" s="10">
        <v>48.0</v>
      </c>
      <c r="E28" s="11" t="s">
        <v>11</v>
      </c>
      <c r="F28" s="9" t="s">
        <v>26</v>
      </c>
      <c r="G28" s="9" t="s">
        <v>22</v>
      </c>
      <c r="H28" s="15" t="s">
        <v>19</v>
      </c>
      <c r="I28" s="9" t="s">
        <v>40</v>
      </c>
      <c r="J28" s="16"/>
      <c r="K28" s="14" t="s">
        <v>14</v>
      </c>
    </row>
    <row r="29" ht="15.75" customHeight="1">
      <c r="A29" s="9" t="s">
        <v>57</v>
      </c>
      <c r="B29" s="9">
        <v>1849.0</v>
      </c>
      <c r="C29" s="9">
        <v>1912.0</v>
      </c>
      <c r="D29" s="10">
        <v>63.0</v>
      </c>
      <c r="E29" s="11" t="s">
        <v>11</v>
      </c>
      <c r="F29" s="9" t="s">
        <v>16</v>
      </c>
      <c r="G29" s="9" t="s">
        <v>22</v>
      </c>
      <c r="H29" s="15" t="s">
        <v>19</v>
      </c>
      <c r="I29" s="9" t="s">
        <v>40</v>
      </c>
      <c r="J29" s="16"/>
      <c r="K29" s="14" t="s">
        <v>20</v>
      </c>
    </row>
    <row r="30" ht="15.75" customHeight="1">
      <c r="A30" s="9" t="s">
        <v>58</v>
      </c>
      <c r="B30" s="9">
        <v>1886.0</v>
      </c>
      <c r="C30" s="9">
        <v>1912.0</v>
      </c>
      <c r="D30" s="10">
        <v>26.0</v>
      </c>
      <c r="E30" s="11" t="s">
        <v>11</v>
      </c>
      <c r="F30" s="9" t="s">
        <v>16</v>
      </c>
      <c r="G30" s="9" t="s">
        <v>33</v>
      </c>
      <c r="H30" s="15" t="s">
        <v>19</v>
      </c>
      <c r="I30" s="12"/>
      <c r="J30" s="13">
        <v>0.0</v>
      </c>
      <c r="K30" s="14" t="s">
        <v>24</v>
      </c>
    </row>
    <row r="31" ht="15.75" customHeight="1">
      <c r="A31" s="9" t="s">
        <v>59</v>
      </c>
      <c r="B31" s="9">
        <v>1865.0</v>
      </c>
      <c r="C31" s="9">
        <v>1960.0</v>
      </c>
      <c r="D31" s="10">
        <v>47.0</v>
      </c>
      <c r="E31" s="17" t="s">
        <v>30</v>
      </c>
      <c r="F31" s="9" t="s">
        <v>47</v>
      </c>
      <c r="G31" s="9" t="s">
        <v>12</v>
      </c>
      <c r="H31" s="9" t="s">
        <v>13</v>
      </c>
      <c r="J31" s="13">
        <v>0.0</v>
      </c>
      <c r="K31" s="14" t="s">
        <v>14</v>
      </c>
    </row>
    <row r="32" ht="15.75" customHeight="1">
      <c r="A32" s="9" t="s">
        <v>60</v>
      </c>
      <c r="B32" s="9">
        <v>1883.0</v>
      </c>
      <c r="C32" s="9">
        <v>1912.0</v>
      </c>
      <c r="D32" s="10">
        <v>29.0</v>
      </c>
      <c r="E32" s="11" t="s">
        <v>11</v>
      </c>
      <c r="F32" s="9" t="s">
        <v>26</v>
      </c>
      <c r="G32" s="9" t="s">
        <v>22</v>
      </c>
      <c r="H32" s="15" t="s">
        <v>19</v>
      </c>
      <c r="I32" s="9" t="s">
        <v>27</v>
      </c>
      <c r="J32" s="16"/>
      <c r="K32" s="14" t="s">
        <v>24</v>
      </c>
    </row>
    <row r="33" ht="15.75" customHeight="1">
      <c r="A33" s="9" t="s">
        <v>61</v>
      </c>
      <c r="B33" s="9">
        <v>1893.0</v>
      </c>
      <c r="C33" s="9">
        <v>1912.0</v>
      </c>
      <c r="D33" s="10">
        <v>19.0</v>
      </c>
      <c r="E33" s="11" t="s">
        <v>11</v>
      </c>
      <c r="F33" s="9" t="s">
        <v>16</v>
      </c>
      <c r="G33" s="9" t="s">
        <v>22</v>
      </c>
      <c r="H33" s="15" t="s">
        <v>19</v>
      </c>
      <c r="I33" s="9" t="s">
        <v>27</v>
      </c>
      <c r="J33" s="16"/>
      <c r="K33" s="14" t="s">
        <v>31</v>
      </c>
    </row>
    <row r="34" ht="15.75" customHeight="1">
      <c r="A34" s="9" t="s">
        <v>62</v>
      </c>
      <c r="B34" s="9">
        <v>1910.0</v>
      </c>
      <c r="C34" s="9">
        <v>1945.0</v>
      </c>
      <c r="D34" s="10">
        <v>2.0</v>
      </c>
      <c r="E34" s="17" t="s">
        <v>30</v>
      </c>
      <c r="F34" s="9" t="s">
        <v>26</v>
      </c>
      <c r="G34" s="9" t="s">
        <v>12</v>
      </c>
      <c r="H34" s="9" t="s">
        <v>13</v>
      </c>
      <c r="I34" s="12"/>
      <c r="J34" s="16"/>
      <c r="K34" s="14" t="s">
        <v>31</v>
      </c>
    </row>
    <row r="35" ht="15.75" customHeight="1">
      <c r="A35" s="9" t="s">
        <v>63</v>
      </c>
      <c r="B35" s="9">
        <v>1890.0</v>
      </c>
      <c r="C35" s="9">
        <v>1912.0</v>
      </c>
      <c r="D35" s="10">
        <v>22.0</v>
      </c>
      <c r="E35" s="11" t="s">
        <v>11</v>
      </c>
      <c r="F35" s="9" t="s">
        <v>16</v>
      </c>
      <c r="G35" s="9" t="s">
        <v>22</v>
      </c>
      <c r="H35" s="15" t="s">
        <v>19</v>
      </c>
      <c r="I35" s="9" t="s">
        <v>40</v>
      </c>
      <c r="J35" s="13">
        <v>0.0</v>
      </c>
      <c r="K35" s="14" t="s">
        <v>24</v>
      </c>
    </row>
    <row r="36" ht="15.75" customHeight="1">
      <c r="A36" s="9" t="s">
        <v>64</v>
      </c>
      <c r="B36" s="9">
        <v>1846.0</v>
      </c>
      <c r="C36" s="9">
        <v>1914.0</v>
      </c>
      <c r="D36" s="10">
        <v>66.0</v>
      </c>
      <c r="E36" s="11" t="s">
        <v>11</v>
      </c>
      <c r="F36" s="9" t="s">
        <v>26</v>
      </c>
      <c r="G36" s="9" t="s">
        <v>12</v>
      </c>
      <c r="H36" s="9" t="s">
        <v>13</v>
      </c>
      <c r="J36" s="13">
        <v>0.0</v>
      </c>
      <c r="K36" s="14" t="s">
        <v>20</v>
      </c>
    </row>
    <row r="37" ht="15.75" customHeight="1">
      <c r="A37" s="9" t="s">
        <v>65</v>
      </c>
      <c r="B37" s="9">
        <v>1840.0</v>
      </c>
      <c r="C37" s="9">
        <v>1912.0</v>
      </c>
      <c r="D37" s="10">
        <v>72.0</v>
      </c>
      <c r="E37" s="11" t="s">
        <v>11</v>
      </c>
      <c r="F37" s="9" t="s">
        <v>44</v>
      </c>
      <c r="G37" s="9" t="s">
        <v>22</v>
      </c>
      <c r="H37" s="15" t="s">
        <v>19</v>
      </c>
      <c r="I37" s="9" t="s">
        <v>40</v>
      </c>
      <c r="J37" s="16"/>
      <c r="K37" s="14" t="s">
        <v>20</v>
      </c>
    </row>
    <row r="38" ht="15.75" customHeight="1">
      <c r="A38" s="9" t="s">
        <v>66</v>
      </c>
      <c r="B38" s="9">
        <v>1902.0</v>
      </c>
      <c r="C38" s="9">
        <v>1912.0</v>
      </c>
      <c r="D38" s="10">
        <v>10.0</v>
      </c>
      <c r="E38" s="11" t="s">
        <v>11</v>
      </c>
      <c r="G38" s="9" t="s">
        <v>33</v>
      </c>
      <c r="H38" s="15" t="s">
        <v>19</v>
      </c>
      <c r="I38" s="12"/>
      <c r="J38" s="16"/>
      <c r="K38" s="14" t="s">
        <v>31</v>
      </c>
    </row>
    <row r="39" ht="15.75" customHeight="1">
      <c r="A39" s="9" t="s">
        <v>67</v>
      </c>
      <c r="B39" s="9">
        <v>1875.0</v>
      </c>
      <c r="C39" s="9">
        <v>1912.0</v>
      </c>
      <c r="D39" s="10">
        <v>37.0</v>
      </c>
      <c r="E39" s="11" t="s">
        <v>11</v>
      </c>
      <c r="F39" s="9" t="s">
        <v>26</v>
      </c>
      <c r="G39" s="9" t="s">
        <v>33</v>
      </c>
      <c r="H39" s="15" t="s">
        <v>19</v>
      </c>
      <c r="I39" s="12"/>
      <c r="J39" s="16"/>
      <c r="K39" s="14" t="s">
        <v>24</v>
      </c>
    </row>
    <row r="40" ht="15.75" customHeight="1">
      <c r="A40" s="9" t="s">
        <v>68</v>
      </c>
      <c r="B40" s="9">
        <v>1895.0</v>
      </c>
      <c r="C40" s="9">
        <v>1955.0</v>
      </c>
      <c r="D40" s="10">
        <v>17.0</v>
      </c>
      <c r="E40" s="11" t="s">
        <v>11</v>
      </c>
      <c r="F40" s="9" t="s">
        <v>16</v>
      </c>
      <c r="G40" s="9" t="s">
        <v>22</v>
      </c>
      <c r="H40" s="9" t="s">
        <v>13</v>
      </c>
      <c r="I40" s="9" t="s">
        <v>23</v>
      </c>
      <c r="J40" s="13">
        <v>0.0</v>
      </c>
      <c r="K40" s="14" t="s">
        <v>31</v>
      </c>
    </row>
    <row r="41" ht="15.75" customHeight="1">
      <c r="A41" s="9" t="s">
        <v>69</v>
      </c>
      <c r="B41" s="9">
        <v>1882.0</v>
      </c>
      <c r="C41" s="9">
        <v>1912.0</v>
      </c>
      <c r="D41" s="10">
        <v>30.0</v>
      </c>
      <c r="E41" s="11" t="s">
        <v>11</v>
      </c>
      <c r="F41" s="9" t="s">
        <v>16</v>
      </c>
      <c r="G41" s="9" t="s">
        <v>22</v>
      </c>
      <c r="H41" s="15" t="s">
        <v>19</v>
      </c>
      <c r="I41" s="9" t="s">
        <v>40</v>
      </c>
      <c r="J41" s="16"/>
      <c r="K41" s="14" t="s">
        <v>24</v>
      </c>
    </row>
    <row r="42" ht="15.75" customHeight="1">
      <c r="A42" s="9" t="s">
        <v>70</v>
      </c>
      <c r="B42" s="9">
        <v>1862.0</v>
      </c>
      <c r="C42" s="9">
        <v>1912.0</v>
      </c>
      <c r="D42" s="10">
        <v>50.0</v>
      </c>
      <c r="E42" s="11" t="s">
        <v>11</v>
      </c>
      <c r="F42" s="9" t="s">
        <v>26</v>
      </c>
      <c r="G42" s="9" t="s">
        <v>22</v>
      </c>
      <c r="H42" s="15" t="s">
        <v>19</v>
      </c>
      <c r="I42" s="9" t="s">
        <v>35</v>
      </c>
      <c r="J42" s="13">
        <v>0.0</v>
      </c>
      <c r="K42" s="14" t="s">
        <v>14</v>
      </c>
    </row>
    <row r="43" ht="15.75" customHeight="1">
      <c r="A43" s="9" t="s">
        <v>71</v>
      </c>
      <c r="B43" s="9">
        <v>1843.0</v>
      </c>
      <c r="C43" s="9">
        <v>1912.0</v>
      </c>
      <c r="D43" s="10">
        <v>69.0</v>
      </c>
      <c r="E43" s="11" t="s">
        <v>11</v>
      </c>
      <c r="F43" s="9" t="s">
        <v>26</v>
      </c>
      <c r="G43" s="9" t="s">
        <v>33</v>
      </c>
      <c r="H43" s="15" t="s">
        <v>19</v>
      </c>
      <c r="I43" s="12"/>
      <c r="J43" s="13">
        <v>0.0</v>
      </c>
      <c r="K43" s="14" t="s">
        <v>20</v>
      </c>
    </row>
    <row r="44" ht="15.75" customHeight="1">
      <c r="A44" s="9" t="s">
        <v>72</v>
      </c>
      <c r="B44" s="9">
        <v>1879.0</v>
      </c>
      <c r="C44" s="9">
        <v>1912.0</v>
      </c>
      <c r="D44" s="10">
        <v>33.0</v>
      </c>
      <c r="E44" s="11" t="s">
        <v>11</v>
      </c>
      <c r="F44" s="9" t="s">
        <v>44</v>
      </c>
      <c r="G44" s="9" t="s">
        <v>18</v>
      </c>
      <c r="H44" s="15" t="s">
        <v>19</v>
      </c>
      <c r="I44" s="12"/>
      <c r="J44" s="13">
        <v>0.0</v>
      </c>
      <c r="K44" s="14" t="s">
        <v>24</v>
      </c>
    </row>
    <row r="45" ht="15.75" customHeight="1">
      <c r="A45" s="9" t="s">
        <v>73</v>
      </c>
      <c r="B45" s="9">
        <v>1901.0</v>
      </c>
      <c r="C45" s="9">
        <v>1914.0</v>
      </c>
      <c r="D45" s="10">
        <v>11.0</v>
      </c>
      <c r="E45" s="11" t="s">
        <v>11</v>
      </c>
      <c r="F45" s="9" t="s">
        <v>26</v>
      </c>
      <c r="G45" s="9" t="s">
        <v>33</v>
      </c>
      <c r="H45" s="9" t="s">
        <v>13</v>
      </c>
      <c r="I45" s="12"/>
      <c r="J45" s="16"/>
      <c r="K45" s="14" t="s">
        <v>31</v>
      </c>
    </row>
    <row r="46" ht="15.75" customHeight="1">
      <c r="A46" s="9" t="s">
        <v>74</v>
      </c>
      <c r="B46" s="9">
        <v>1888.0</v>
      </c>
      <c r="C46" s="9">
        <v>1912.0</v>
      </c>
      <c r="D46" s="10">
        <v>24.0</v>
      </c>
      <c r="E46" s="17" t="s">
        <v>30</v>
      </c>
      <c r="G46" s="9" t="s">
        <v>33</v>
      </c>
      <c r="H46" s="15" t="s">
        <v>19</v>
      </c>
      <c r="I46" s="12"/>
      <c r="J46" s="13">
        <v>0.0</v>
      </c>
      <c r="K46" s="14" t="s">
        <v>24</v>
      </c>
    </row>
    <row r="47" ht="15.75" customHeight="1">
      <c r="A47" s="9" t="s">
        <v>75</v>
      </c>
      <c r="B47" s="9">
        <v>1898.0</v>
      </c>
      <c r="C47" s="9">
        <v>1912.0</v>
      </c>
      <c r="D47" s="10">
        <v>14.0</v>
      </c>
      <c r="E47" s="11" t="s">
        <v>11</v>
      </c>
      <c r="F47" s="9" t="s">
        <v>26</v>
      </c>
      <c r="G47" s="9" t="s">
        <v>18</v>
      </c>
      <c r="H47" s="15" t="s">
        <v>19</v>
      </c>
      <c r="I47" s="12"/>
      <c r="J47" s="13">
        <v>0.0</v>
      </c>
      <c r="K47" s="14" t="s">
        <v>31</v>
      </c>
    </row>
    <row r="48" ht="15.75" customHeight="1">
      <c r="A48" s="9" t="s">
        <v>76</v>
      </c>
      <c r="B48" s="9">
        <v>1879.0</v>
      </c>
      <c r="C48" s="9">
        <v>1928.0</v>
      </c>
      <c r="D48" s="10">
        <v>33.0</v>
      </c>
      <c r="E48" s="17" t="s">
        <v>30</v>
      </c>
      <c r="F48" s="9" t="s">
        <v>47</v>
      </c>
      <c r="G48" s="9" t="s">
        <v>12</v>
      </c>
      <c r="H48" s="9" t="s">
        <v>13</v>
      </c>
      <c r="I48" s="12"/>
      <c r="J48" s="13">
        <v>0.0</v>
      </c>
      <c r="K48" s="14" t="s">
        <v>24</v>
      </c>
    </row>
    <row r="49" ht="15.75" customHeight="1">
      <c r="A49" s="9" t="s">
        <v>77</v>
      </c>
      <c r="B49" s="9">
        <v>1876.0</v>
      </c>
      <c r="C49" s="9">
        <v>1912.0</v>
      </c>
      <c r="D49" s="10">
        <v>36.0</v>
      </c>
      <c r="E49" s="11" t="s">
        <v>11</v>
      </c>
      <c r="G49" s="9" t="s">
        <v>33</v>
      </c>
      <c r="H49" s="15" t="s">
        <v>19</v>
      </c>
      <c r="J49" s="16"/>
      <c r="K49" s="14" t="s">
        <v>24</v>
      </c>
    </row>
    <row r="50" ht="15.75" customHeight="1">
      <c r="A50" s="9" t="s">
        <v>78</v>
      </c>
      <c r="B50" s="9">
        <v>1844.0</v>
      </c>
      <c r="C50" s="9">
        <v>1972.0</v>
      </c>
      <c r="D50" s="10">
        <v>68.0</v>
      </c>
      <c r="E50" s="17" t="s">
        <v>30</v>
      </c>
      <c r="F50" s="9" t="s">
        <v>26</v>
      </c>
      <c r="G50" s="9" t="s">
        <v>18</v>
      </c>
      <c r="H50" s="9" t="s">
        <v>13</v>
      </c>
      <c r="J50" s="13">
        <v>0.0</v>
      </c>
      <c r="K50" s="14" t="s">
        <v>20</v>
      </c>
    </row>
    <row r="51" ht="15.75" customHeight="1">
      <c r="A51" s="9" t="s">
        <v>79</v>
      </c>
      <c r="B51" s="9">
        <v>1894.0</v>
      </c>
      <c r="C51" s="9">
        <v>1912.0</v>
      </c>
      <c r="D51" s="10">
        <v>18.0</v>
      </c>
      <c r="E51" s="17" t="s">
        <v>30</v>
      </c>
      <c r="F51" s="9" t="s">
        <v>16</v>
      </c>
      <c r="G51" s="9" t="s">
        <v>12</v>
      </c>
      <c r="H51" s="15" t="s">
        <v>19</v>
      </c>
      <c r="I51" s="12"/>
      <c r="J51" s="13">
        <v>0.0</v>
      </c>
      <c r="K51" s="14" t="s">
        <v>31</v>
      </c>
    </row>
    <row r="52" ht="15.75" customHeight="1">
      <c r="A52" s="9" t="s">
        <v>80</v>
      </c>
      <c r="B52" s="9">
        <v>1848.0</v>
      </c>
      <c r="C52" s="9">
        <v>1961.0</v>
      </c>
      <c r="D52" s="10">
        <v>64.0</v>
      </c>
      <c r="E52" s="11" t="s">
        <v>11</v>
      </c>
      <c r="F52" s="9" t="s">
        <v>26</v>
      </c>
      <c r="G52" s="9" t="s">
        <v>22</v>
      </c>
      <c r="H52" s="9" t="s">
        <v>13</v>
      </c>
      <c r="I52" s="9" t="s">
        <v>27</v>
      </c>
      <c r="J52" s="13">
        <v>0.0</v>
      </c>
      <c r="K52" s="14" t="s">
        <v>20</v>
      </c>
    </row>
    <row r="53" ht="15.75" customHeight="1">
      <c r="A53" s="9" t="s">
        <v>81</v>
      </c>
      <c r="B53" s="9">
        <v>1874.0</v>
      </c>
      <c r="C53" s="9">
        <v>1912.0</v>
      </c>
      <c r="D53" s="10">
        <v>38.0</v>
      </c>
      <c r="E53" s="11" t="s">
        <v>11</v>
      </c>
      <c r="F53" s="9" t="s">
        <v>16</v>
      </c>
      <c r="G53" s="9" t="s">
        <v>33</v>
      </c>
      <c r="H53" s="15" t="s">
        <v>19</v>
      </c>
      <c r="I53" s="12"/>
      <c r="J53" s="16"/>
      <c r="K53" s="14" t="s">
        <v>24</v>
      </c>
    </row>
    <row r="54" ht="15.75" customHeight="1">
      <c r="A54" s="9" t="s">
        <v>82</v>
      </c>
      <c r="B54" s="9">
        <v>1884.0</v>
      </c>
      <c r="C54" s="9">
        <v>1912.0</v>
      </c>
      <c r="D54" s="10">
        <v>28.0</v>
      </c>
      <c r="E54" s="11" t="s">
        <v>11</v>
      </c>
      <c r="F54" s="9" t="s">
        <v>26</v>
      </c>
      <c r="G54" s="9" t="s">
        <v>33</v>
      </c>
      <c r="H54" s="15" t="s">
        <v>19</v>
      </c>
      <c r="J54" s="16"/>
      <c r="K54" s="14" t="s">
        <v>24</v>
      </c>
    </row>
    <row r="55" ht="15.75" customHeight="1">
      <c r="A55" s="9" t="s">
        <v>83</v>
      </c>
      <c r="B55" s="9">
        <v>1854.0</v>
      </c>
      <c r="C55" s="9">
        <v>1912.0</v>
      </c>
      <c r="D55" s="10">
        <v>58.0</v>
      </c>
      <c r="E55" s="11" t="s">
        <v>11</v>
      </c>
      <c r="F55" s="9" t="s">
        <v>44</v>
      </c>
      <c r="G55" s="9" t="s">
        <v>18</v>
      </c>
      <c r="H55" s="15" t="s">
        <v>19</v>
      </c>
      <c r="I55" s="12"/>
      <c r="J55" s="13">
        <v>0.0</v>
      </c>
      <c r="K55" s="14" t="s">
        <v>14</v>
      </c>
    </row>
    <row r="56" ht="15.75" customHeight="1">
      <c r="A56" s="9" t="s">
        <v>84</v>
      </c>
      <c r="B56" s="9">
        <v>1854.0</v>
      </c>
      <c r="C56" s="9">
        <v>1912.0</v>
      </c>
      <c r="D56" s="10">
        <v>58.0</v>
      </c>
      <c r="E56" s="17" t="s">
        <v>30</v>
      </c>
      <c r="F56" s="9" t="s">
        <v>16</v>
      </c>
      <c r="G56" s="9" t="s">
        <v>33</v>
      </c>
      <c r="H56" s="15" t="s">
        <v>19</v>
      </c>
      <c r="J56" s="16"/>
      <c r="K56" s="14" t="s">
        <v>14</v>
      </c>
    </row>
    <row r="57" ht="15.75" customHeight="1">
      <c r="A57" s="9" t="s">
        <v>85</v>
      </c>
      <c r="B57" s="9">
        <v>1892.0</v>
      </c>
      <c r="C57" s="9">
        <v>1912.0</v>
      </c>
      <c r="D57" s="10">
        <v>20.0</v>
      </c>
      <c r="E57" s="11" t="s">
        <v>11</v>
      </c>
      <c r="F57" s="9" t="s">
        <v>26</v>
      </c>
      <c r="G57" s="9" t="s">
        <v>33</v>
      </c>
      <c r="H57" s="15" t="s">
        <v>19</v>
      </c>
      <c r="J57" s="13">
        <v>0.0</v>
      </c>
      <c r="K57" s="14" t="s">
        <v>24</v>
      </c>
    </row>
    <row r="58" ht="15.75" customHeight="1">
      <c r="A58" s="9" t="s">
        <v>86</v>
      </c>
      <c r="B58" s="9">
        <v>1875.0</v>
      </c>
      <c r="C58" s="9">
        <v>1912.0</v>
      </c>
      <c r="D58" s="10">
        <v>37.0</v>
      </c>
      <c r="E58" s="11" t="s">
        <v>11</v>
      </c>
      <c r="F58" s="9" t="s">
        <v>26</v>
      </c>
      <c r="G58" s="9" t="s">
        <v>22</v>
      </c>
      <c r="H58" s="15" t="s">
        <v>19</v>
      </c>
      <c r="I58" s="9" t="s">
        <v>40</v>
      </c>
      <c r="J58" s="16"/>
      <c r="K58" s="14" t="s">
        <v>24</v>
      </c>
    </row>
    <row r="59" ht="15.75" customHeight="1">
      <c r="A59" s="9" t="s">
        <v>87</v>
      </c>
      <c r="B59" s="9">
        <v>1876.0</v>
      </c>
      <c r="C59" s="9">
        <v>1912.0</v>
      </c>
      <c r="D59" s="10">
        <v>36.0</v>
      </c>
      <c r="E59" s="11" t="s">
        <v>11</v>
      </c>
      <c r="F59" s="9" t="s">
        <v>26</v>
      </c>
      <c r="G59" s="9" t="s">
        <v>22</v>
      </c>
      <c r="H59" s="15" t="s">
        <v>19</v>
      </c>
      <c r="I59" s="9" t="s">
        <v>27</v>
      </c>
      <c r="J59" s="16"/>
      <c r="K59" s="14" t="s">
        <v>24</v>
      </c>
    </row>
    <row r="60" ht="15.75" customHeight="1">
      <c r="A60" s="9" t="s">
        <v>88</v>
      </c>
      <c r="B60" s="9">
        <v>1859.0</v>
      </c>
      <c r="C60" s="9">
        <v>1912.0</v>
      </c>
      <c r="D60" s="10">
        <v>53.0</v>
      </c>
      <c r="E60" s="11" t="s">
        <v>11</v>
      </c>
      <c r="G60" s="9" t="s">
        <v>22</v>
      </c>
      <c r="H60" s="15" t="s">
        <v>19</v>
      </c>
      <c r="I60" s="9" t="s">
        <v>40</v>
      </c>
      <c r="J60" s="13">
        <v>0.0</v>
      </c>
      <c r="K60" s="14" t="s">
        <v>14</v>
      </c>
    </row>
    <row r="61" ht="15.75" customHeight="1">
      <c r="A61" s="9" t="s">
        <v>89</v>
      </c>
      <c r="B61" s="9">
        <v>1897.0</v>
      </c>
      <c r="C61" s="9">
        <v>1967.0</v>
      </c>
      <c r="D61" s="10">
        <v>15.0</v>
      </c>
      <c r="E61" s="11" t="s">
        <v>11</v>
      </c>
      <c r="F61" s="9" t="s">
        <v>47</v>
      </c>
      <c r="G61" s="9" t="s">
        <v>18</v>
      </c>
      <c r="H61" s="9" t="s">
        <v>13</v>
      </c>
      <c r="J61" s="13">
        <v>0.0</v>
      </c>
      <c r="K61" s="14" t="s">
        <v>31</v>
      </c>
    </row>
    <row r="62" ht="15.75" customHeight="1">
      <c r="A62" s="9" t="s">
        <v>90</v>
      </c>
      <c r="B62" s="9">
        <v>1871.0</v>
      </c>
      <c r="D62" s="10">
        <v>41.0</v>
      </c>
      <c r="E62" s="11" t="s">
        <v>11</v>
      </c>
      <c r="F62" s="9" t="s">
        <v>26</v>
      </c>
      <c r="G62" s="9" t="s">
        <v>22</v>
      </c>
      <c r="H62" s="9" t="s">
        <v>13</v>
      </c>
      <c r="I62" s="9" t="s">
        <v>23</v>
      </c>
      <c r="J62" s="16"/>
      <c r="K62" s="14" t="s">
        <v>14</v>
      </c>
    </row>
    <row r="63" ht="15.75" customHeight="1">
      <c r="A63" s="9" t="s">
        <v>91</v>
      </c>
      <c r="B63" s="9">
        <v>1909.0</v>
      </c>
      <c r="C63" s="9">
        <v>1912.0</v>
      </c>
      <c r="D63" s="10">
        <v>3.0</v>
      </c>
      <c r="E63" s="11" t="s">
        <v>11</v>
      </c>
      <c r="G63" s="9" t="s">
        <v>33</v>
      </c>
      <c r="H63" s="15" t="s">
        <v>19</v>
      </c>
      <c r="J63" s="16"/>
      <c r="K63" s="14" t="s">
        <v>31</v>
      </c>
    </row>
    <row r="64" ht="15.75" customHeight="1">
      <c r="A64" s="9" t="s">
        <v>92</v>
      </c>
      <c r="B64" s="9">
        <v>1849.0</v>
      </c>
      <c r="C64" s="9">
        <v>1946.0</v>
      </c>
      <c r="D64" s="10">
        <v>63.0</v>
      </c>
      <c r="E64" s="17" t="s">
        <v>30</v>
      </c>
      <c r="F64" s="9" t="s">
        <v>93</v>
      </c>
      <c r="G64" s="9" t="s">
        <v>33</v>
      </c>
      <c r="H64" s="9" t="s">
        <v>13</v>
      </c>
      <c r="I64" s="12"/>
      <c r="J64" s="13">
        <v>0.0</v>
      </c>
      <c r="K64" s="14" t="s">
        <v>20</v>
      </c>
    </row>
    <row r="65" ht="15.75" customHeight="1">
      <c r="A65" s="9" t="s">
        <v>94</v>
      </c>
      <c r="B65" s="9">
        <v>1876.0</v>
      </c>
      <c r="C65" s="9">
        <v>1912.0</v>
      </c>
      <c r="D65" s="10">
        <v>36.0</v>
      </c>
      <c r="E65" s="11" t="s">
        <v>11</v>
      </c>
      <c r="G65" s="9" t="s">
        <v>33</v>
      </c>
      <c r="H65" s="15" t="s">
        <v>19</v>
      </c>
      <c r="I65" s="12"/>
      <c r="J65" s="16"/>
      <c r="K65" s="14" t="s">
        <v>24</v>
      </c>
    </row>
    <row r="66" ht="15.75" customHeight="1">
      <c r="A66" s="9" t="s">
        <v>95</v>
      </c>
      <c r="B66" s="9">
        <v>1850.0</v>
      </c>
      <c r="C66" s="9">
        <v>1977.0</v>
      </c>
      <c r="D66" s="10">
        <v>62.0</v>
      </c>
      <c r="E66" s="11" t="s">
        <v>11</v>
      </c>
      <c r="F66" s="9" t="s">
        <v>16</v>
      </c>
      <c r="G66" s="9" t="s">
        <v>18</v>
      </c>
      <c r="H66" s="9" t="s">
        <v>13</v>
      </c>
      <c r="I66" s="12"/>
      <c r="J66" s="13">
        <v>0.0</v>
      </c>
      <c r="K66" s="14" t="s">
        <v>20</v>
      </c>
    </row>
    <row r="67" ht="15.75" customHeight="1">
      <c r="A67" s="9" t="s">
        <v>96</v>
      </c>
      <c r="B67" s="9">
        <v>1884.0</v>
      </c>
      <c r="C67" s="9">
        <v>1912.0</v>
      </c>
      <c r="D67" s="10">
        <v>28.0</v>
      </c>
      <c r="E67" s="11" t="s">
        <v>11</v>
      </c>
      <c r="G67" s="9" t="s">
        <v>22</v>
      </c>
      <c r="H67" s="15" t="s">
        <v>19</v>
      </c>
      <c r="I67" s="9" t="s">
        <v>35</v>
      </c>
      <c r="J67" s="16"/>
      <c r="K67" s="14" t="s">
        <v>24</v>
      </c>
    </row>
    <row r="68" ht="15.75" customHeight="1">
      <c r="A68" s="9" t="s">
        <v>97</v>
      </c>
      <c r="B68" s="9">
        <v>1884.0</v>
      </c>
      <c r="C68" s="9">
        <v>1912.0</v>
      </c>
      <c r="D68" s="10">
        <v>28.0</v>
      </c>
      <c r="E68" s="11" t="s">
        <v>11</v>
      </c>
      <c r="F68" s="9" t="s">
        <v>16</v>
      </c>
      <c r="G68" s="9" t="s">
        <v>22</v>
      </c>
      <c r="H68" s="15" t="s">
        <v>19</v>
      </c>
      <c r="I68" s="9" t="s">
        <v>27</v>
      </c>
      <c r="J68" s="16"/>
      <c r="K68" s="14" t="s">
        <v>24</v>
      </c>
    </row>
    <row r="69" ht="15.75" customHeight="1">
      <c r="A69" s="9" t="s">
        <v>98</v>
      </c>
      <c r="B69" s="9">
        <v>1870.0</v>
      </c>
      <c r="C69" s="9">
        <v>1936.0</v>
      </c>
      <c r="D69" s="10">
        <v>42.0</v>
      </c>
      <c r="E69" s="17" t="s">
        <v>30</v>
      </c>
      <c r="F69" s="9" t="s">
        <v>26</v>
      </c>
      <c r="G69" s="9" t="s">
        <v>12</v>
      </c>
      <c r="H69" s="9" t="s">
        <v>13</v>
      </c>
      <c r="J69" s="13">
        <v>0.0</v>
      </c>
      <c r="K69" s="14" t="s">
        <v>14</v>
      </c>
    </row>
    <row r="70" ht="15.75" customHeight="1">
      <c r="A70" s="9" t="s">
        <v>99</v>
      </c>
      <c r="B70" s="9">
        <v>1874.0</v>
      </c>
      <c r="C70" s="9">
        <v>1959.0</v>
      </c>
      <c r="D70" s="10">
        <v>38.0</v>
      </c>
      <c r="E70" s="11" t="s">
        <v>11</v>
      </c>
      <c r="F70" s="9" t="s">
        <v>26</v>
      </c>
      <c r="G70" s="9" t="s">
        <v>22</v>
      </c>
      <c r="H70" s="9" t="s">
        <v>13</v>
      </c>
      <c r="I70" s="9" t="s">
        <v>40</v>
      </c>
      <c r="J70" s="13">
        <v>0.0</v>
      </c>
      <c r="K70" s="14" t="s">
        <v>24</v>
      </c>
    </row>
    <row r="71" ht="15.75" customHeight="1">
      <c r="A71" s="9" t="s">
        <v>100</v>
      </c>
      <c r="B71" s="9">
        <v>1901.0</v>
      </c>
      <c r="C71" s="9">
        <v>1969.0</v>
      </c>
      <c r="D71" s="10">
        <v>11.0</v>
      </c>
      <c r="E71" s="17" t="s">
        <v>30</v>
      </c>
      <c r="F71" s="9" t="s">
        <v>16</v>
      </c>
      <c r="G71" s="9" t="s">
        <v>18</v>
      </c>
      <c r="H71" s="9" t="s">
        <v>13</v>
      </c>
      <c r="J71" s="16"/>
      <c r="K71" s="14" t="s">
        <v>31</v>
      </c>
    </row>
    <row r="72" ht="15.75" customHeight="1">
      <c r="A72" s="9" t="s">
        <v>101</v>
      </c>
      <c r="B72" s="9">
        <v>1876.0</v>
      </c>
      <c r="C72" s="9">
        <v>1912.0</v>
      </c>
      <c r="D72" s="10">
        <v>36.0</v>
      </c>
      <c r="E72" s="11" t="s">
        <v>11</v>
      </c>
      <c r="F72" s="9" t="s">
        <v>26</v>
      </c>
      <c r="G72" s="9" t="s">
        <v>22</v>
      </c>
      <c r="H72" s="15" t="s">
        <v>19</v>
      </c>
      <c r="I72" s="9" t="s">
        <v>27</v>
      </c>
      <c r="J72" s="16"/>
      <c r="K72" s="14" t="s">
        <v>24</v>
      </c>
    </row>
    <row r="73" ht="15.75" customHeight="1">
      <c r="A73" s="9" t="s">
        <v>102</v>
      </c>
      <c r="B73" s="9">
        <v>1851.0</v>
      </c>
      <c r="C73" s="9">
        <v>1964.0</v>
      </c>
      <c r="D73" s="10">
        <v>61.0</v>
      </c>
      <c r="E73" s="17" t="s">
        <v>30</v>
      </c>
      <c r="F73" s="9" t="s">
        <v>16</v>
      </c>
      <c r="G73" s="9" t="s">
        <v>18</v>
      </c>
      <c r="H73" s="9" t="s">
        <v>13</v>
      </c>
      <c r="J73" s="13">
        <v>0.0</v>
      </c>
      <c r="K73" s="14" t="s">
        <v>20</v>
      </c>
    </row>
    <row r="74" ht="15.75" customHeight="1">
      <c r="A74" s="9" t="s">
        <v>103</v>
      </c>
      <c r="B74" s="9">
        <v>1882.0</v>
      </c>
      <c r="C74" s="9">
        <v>1912.0</v>
      </c>
      <c r="D74" s="10">
        <v>30.0</v>
      </c>
      <c r="E74" s="17" t="s">
        <v>30</v>
      </c>
      <c r="G74" s="9" t="s">
        <v>33</v>
      </c>
      <c r="H74" s="15" t="s">
        <v>19</v>
      </c>
      <c r="I74" s="12"/>
      <c r="J74" s="13">
        <v>0.0</v>
      </c>
      <c r="K74" s="14" t="s">
        <v>24</v>
      </c>
    </row>
    <row r="75" ht="15.75" customHeight="1">
      <c r="A75" s="9" t="s">
        <v>104</v>
      </c>
      <c r="B75" s="9">
        <v>1859.0</v>
      </c>
      <c r="C75" s="9">
        <v>1961.0</v>
      </c>
      <c r="D75" s="10">
        <v>53.0</v>
      </c>
      <c r="E75" s="17" t="s">
        <v>30</v>
      </c>
      <c r="F75" s="9" t="s">
        <v>47</v>
      </c>
      <c r="G75" s="9" t="s">
        <v>18</v>
      </c>
      <c r="H75" s="9" t="s">
        <v>13</v>
      </c>
      <c r="I75" s="12"/>
      <c r="J75" s="13">
        <v>0.0</v>
      </c>
      <c r="K75" s="14" t="s">
        <v>14</v>
      </c>
    </row>
    <row r="76" ht="15.75" customHeight="1">
      <c r="A76" s="9" t="s">
        <v>105</v>
      </c>
      <c r="B76" s="9">
        <v>1897.0</v>
      </c>
      <c r="C76" s="9">
        <v>1912.0</v>
      </c>
      <c r="D76" s="10">
        <v>15.0</v>
      </c>
      <c r="E76" s="11" t="s">
        <v>11</v>
      </c>
      <c r="G76" s="9" t="s">
        <v>33</v>
      </c>
      <c r="H76" s="15" t="s">
        <v>19</v>
      </c>
      <c r="J76" s="16"/>
      <c r="K76" s="14" t="s">
        <v>31</v>
      </c>
    </row>
    <row r="77" ht="15.75" customHeight="1">
      <c r="A77" s="9" t="s">
        <v>106</v>
      </c>
      <c r="B77" s="9">
        <v>1861.0</v>
      </c>
      <c r="C77" s="9">
        <v>1912.0</v>
      </c>
      <c r="D77" s="10">
        <v>51.0</v>
      </c>
      <c r="E77" s="11" t="s">
        <v>11</v>
      </c>
      <c r="F77" s="9" t="s">
        <v>16</v>
      </c>
      <c r="G77" s="9" t="s">
        <v>18</v>
      </c>
      <c r="H77" s="15" t="s">
        <v>19</v>
      </c>
      <c r="J77" s="13">
        <v>0.0</v>
      </c>
      <c r="K77" s="14" t="s">
        <v>14</v>
      </c>
    </row>
    <row r="78" ht="15.75" customHeight="1">
      <c r="A78" s="9" t="s">
        <v>107</v>
      </c>
      <c r="B78" s="9">
        <v>1860.0</v>
      </c>
      <c r="C78" s="9">
        <v>1912.0</v>
      </c>
      <c r="D78" s="10">
        <v>52.0</v>
      </c>
      <c r="E78" s="11" t="s">
        <v>11</v>
      </c>
      <c r="F78" s="9" t="s">
        <v>26</v>
      </c>
      <c r="G78" s="9" t="s">
        <v>22</v>
      </c>
      <c r="H78" s="15" t="s">
        <v>19</v>
      </c>
      <c r="I78" s="9" t="s">
        <v>27</v>
      </c>
      <c r="J78" s="16"/>
      <c r="K78" s="14" t="s">
        <v>14</v>
      </c>
    </row>
    <row r="79" ht="15.75" customHeight="1">
      <c r="A79" s="9" t="s">
        <v>108</v>
      </c>
      <c r="B79" s="9">
        <v>1860.0</v>
      </c>
      <c r="C79" s="9">
        <v>1962.0</v>
      </c>
      <c r="D79" s="10">
        <v>52.0</v>
      </c>
      <c r="E79" s="17" t="s">
        <v>30</v>
      </c>
      <c r="F79" s="9" t="s">
        <v>26</v>
      </c>
      <c r="G79" s="9" t="s">
        <v>12</v>
      </c>
      <c r="H79" s="9" t="s">
        <v>13</v>
      </c>
      <c r="I79" s="12"/>
      <c r="J79" s="13">
        <v>0.0</v>
      </c>
      <c r="K79" s="14" t="s">
        <v>14</v>
      </c>
    </row>
    <row r="80" ht="15.75" customHeight="1">
      <c r="A80" s="9" t="s">
        <v>109</v>
      </c>
      <c r="B80" s="9">
        <v>1871.0</v>
      </c>
      <c r="C80" s="9">
        <v>1912.0</v>
      </c>
      <c r="D80" s="10">
        <v>41.0</v>
      </c>
      <c r="E80" s="11" t="s">
        <v>11</v>
      </c>
      <c r="F80" s="9" t="s">
        <v>16</v>
      </c>
      <c r="G80" s="9" t="s">
        <v>18</v>
      </c>
      <c r="H80" s="15" t="s">
        <v>19</v>
      </c>
      <c r="I80" s="12"/>
      <c r="J80" s="13">
        <v>0.0</v>
      </c>
      <c r="K80" s="14" t="s">
        <v>14</v>
      </c>
    </row>
    <row r="81" ht="15.75" customHeight="1">
      <c r="A81" s="9" t="s">
        <v>110</v>
      </c>
      <c r="B81" s="9">
        <v>1857.0</v>
      </c>
      <c r="C81" s="9">
        <v>1912.0</v>
      </c>
      <c r="D81" s="10">
        <v>55.0</v>
      </c>
      <c r="E81" s="11" t="s">
        <v>11</v>
      </c>
      <c r="F81" s="9" t="s">
        <v>26</v>
      </c>
      <c r="G81" s="9" t="s">
        <v>12</v>
      </c>
      <c r="H81" s="15" t="s">
        <v>19</v>
      </c>
      <c r="I81" s="12"/>
      <c r="J81" s="13">
        <v>0.0</v>
      </c>
      <c r="K81" s="14" t="s">
        <v>14</v>
      </c>
    </row>
    <row r="82" ht="15.75" customHeight="1">
      <c r="A82" s="9" t="s">
        <v>111</v>
      </c>
      <c r="B82" s="9">
        <v>1860.0</v>
      </c>
      <c r="C82" s="9">
        <v>1939.0</v>
      </c>
      <c r="D82" s="10">
        <v>52.0</v>
      </c>
      <c r="E82" s="17" t="s">
        <v>30</v>
      </c>
      <c r="F82" s="9" t="s">
        <v>16</v>
      </c>
      <c r="G82" s="9" t="s">
        <v>12</v>
      </c>
      <c r="H82" s="9" t="s">
        <v>13</v>
      </c>
      <c r="J82" s="13">
        <v>0.0</v>
      </c>
      <c r="K82" s="14" t="s">
        <v>14</v>
      </c>
    </row>
    <row r="83" ht="15.75" customHeight="1">
      <c r="A83" s="9" t="s">
        <v>112</v>
      </c>
      <c r="B83" s="9">
        <v>1897.0</v>
      </c>
      <c r="C83" s="9">
        <v>1912.0</v>
      </c>
      <c r="D83" s="10">
        <v>15.0</v>
      </c>
      <c r="E83" s="11" t="s">
        <v>11</v>
      </c>
      <c r="G83" s="9" t="s">
        <v>33</v>
      </c>
      <c r="H83" s="15" t="s">
        <v>19</v>
      </c>
      <c r="I83" s="12"/>
      <c r="J83" s="13">
        <v>0.0</v>
      </c>
      <c r="K83" s="14" t="s">
        <v>31</v>
      </c>
    </row>
    <row r="84" ht="15.75" customHeight="1">
      <c r="A84" s="9" t="s">
        <v>113</v>
      </c>
      <c r="B84" s="9">
        <v>1867.0</v>
      </c>
      <c r="C84" s="9">
        <v>1912.0</v>
      </c>
      <c r="D84" s="10">
        <v>45.0</v>
      </c>
      <c r="E84" s="11" t="s">
        <v>11</v>
      </c>
      <c r="F84" s="9" t="s">
        <v>26</v>
      </c>
      <c r="G84" s="9" t="s">
        <v>22</v>
      </c>
      <c r="H84" s="15" t="s">
        <v>19</v>
      </c>
      <c r="I84" s="9" t="s">
        <v>40</v>
      </c>
      <c r="J84" s="13">
        <v>0.0</v>
      </c>
      <c r="K84" s="14" t="s">
        <v>14</v>
      </c>
    </row>
    <row r="85" ht="15.75" customHeight="1">
      <c r="A85" s="9" t="s">
        <v>114</v>
      </c>
      <c r="B85" s="9">
        <v>1875.0</v>
      </c>
      <c r="C85" s="9">
        <v>1912.0</v>
      </c>
      <c r="D85" s="10">
        <v>37.0</v>
      </c>
      <c r="E85" s="11" t="s">
        <v>11</v>
      </c>
      <c r="F85" s="9" t="s">
        <v>16</v>
      </c>
      <c r="G85" s="9" t="s">
        <v>22</v>
      </c>
      <c r="H85" s="15" t="s">
        <v>19</v>
      </c>
      <c r="I85" s="9" t="s">
        <v>27</v>
      </c>
      <c r="J85" s="13">
        <v>0.0</v>
      </c>
      <c r="K85" s="14" t="s">
        <v>24</v>
      </c>
    </row>
    <row r="86" ht="15.75" customHeight="1">
      <c r="A86" s="9" t="s">
        <v>115</v>
      </c>
      <c r="B86" s="9">
        <v>1888.0</v>
      </c>
      <c r="C86" s="9">
        <v>1912.0</v>
      </c>
      <c r="D86" s="10">
        <v>24.0</v>
      </c>
      <c r="E86" s="11" t="s">
        <v>11</v>
      </c>
      <c r="F86" s="9" t="s">
        <v>26</v>
      </c>
      <c r="G86" s="9" t="s">
        <v>22</v>
      </c>
      <c r="H86" s="15" t="s">
        <v>19</v>
      </c>
      <c r="I86" s="9" t="s">
        <v>27</v>
      </c>
      <c r="J86" s="16"/>
      <c r="K86" s="14" t="s">
        <v>24</v>
      </c>
    </row>
    <row r="87" ht="15.75" customHeight="1">
      <c r="A87" s="9" t="s">
        <v>116</v>
      </c>
      <c r="B87" s="9">
        <v>1841.0</v>
      </c>
      <c r="C87" s="9">
        <v>1966.0</v>
      </c>
      <c r="D87" s="10">
        <v>71.0</v>
      </c>
      <c r="E87" s="11" t="s">
        <v>11</v>
      </c>
      <c r="F87" s="9" t="s">
        <v>26</v>
      </c>
      <c r="G87" s="9" t="s">
        <v>22</v>
      </c>
      <c r="H87" s="9" t="s">
        <v>13</v>
      </c>
      <c r="I87" s="9" t="s">
        <v>40</v>
      </c>
      <c r="J87" s="13">
        <v>0.0</v>
      </c>
      <c r="K87" s="14" t="s">
        <v>20</v>
      </c>
    </row>
    <row r="88" ht="15.75" customHeight="1">
      <c r="A88" s="9" t="s">
        <v>117</v>
      </c>
      <c r="B88" s="9">
        <v>1864.0</v>
      </c>
      <c r="C88" s="9">
        <v>1912.0</v>
      </c>
      <c r="D88" s="10">
        <v>48.0</v>
      </c>
      <c r="E88" s="11" t="s">
        <v>11</v>
      </c>
      <c r="F88" s="9" t="s">
        <v>16</v>
      </c>
      <c r="G88" s="9" t="s">
        <v>22</v>
      </c>
      <c r="H88" s="15" t="s">
        <v>19</v>
      </c>
      <c r="I88" s="9" t="s">
        <v>27</v>
      </c>
      <c r="J88" s="16"/>
      <c r="K88" s="14" t="s">
        <v>14</v>
      </c>
    </row>
    <row r="89" ht="15.75" customHeight="1">
      <c r="A89" s="9" t="s">
        <v>118</v>
      </c>
      <c r="B89" s="9">
        <v>1880.0</v>
      </c>
      <c r="C89" s="9">
        <v>1912.0</v>
      </c>
      <c r="D89" s="10">
        <v>32.0</v>
      </c>
      <c r="E89" s="11" t="s">
        <v>11</v>
      </c>
      <c r="F89" s="9" t="s">
        <v>16</v>
      </c>
      <c r="G89" s="9" t="s">
        <v>22</v>
      </c>
      <c r="H89" s="15" t="s">
        <v>19</v>
      </c>
      <c r="I89" s="9" t="s">
        <v>40</v>
      </c>
      <c r="J89" s="16"/>
      <c r="K89" s="14" t="s">
        <v>24</v>
      </c>
    </row>
    <row r="90" ht="15.75" customHeight="1">
      <c r="A90" s="9" t="s">
        <v>119</v>
      </c>
      <c r="B90" s="9">
        <v>1887.0</v>
      </c>
      <c r="C90" s="9">
        <v>1912.0</v>
      </c>
      <c r="D90" s="10">
        <v>25.0</v>
      </c>
      <c r="E90" s="17" t="s">
        <v>30</v>
      </c>
      <c r="G90" s="9" t="s">
        <v>33</v>
      </c>
      <c r="H90" s="15" t="s">
        <v>19</v>
      </c>
      <c r="J90" s="16"/>
      <c r="K90" s="14" t="s">
        <v>24</v>
      </c>
    </row>
    <row r="91" ht="15.75" customHeight="1">
      <c r="A91" s="9" t="s">
        <v>120</v>
      </c>
      <c r="B91" s="9">
        <v>1854.0</v>
      </c>
      <c r="C91" s="9">
        <v>1932.0</v>
      </c>
      <c r="D91" s="10">
        <v>58.0</v>
      </c>
      <c r="E91" s="17" t="s">
        <v>30</v>
      </c>
      <c r="F91" s="9" t="s">
        <v>16</v>
      </c>
      <c r="G91" s="9" t="s">
        <v>12</v>
      </c>
      <c r="H91" s="9" t="s">
        <v>13</v>
      </c>
      <c r="J91" s="13">
        <v>0.0</v>
      </c>
      <c r="K91" s="14" t="s">
        <v>14</v>
      </c>
    </row>
    <row r="92" ht="15.75" customHeight="1">
      <c r="A92" s="9" t="s">
        <v>121</v>
      </c>
      <c r="B92" s="9">
        <v>1890.0</v>
      </c>
      <c r="C92" s="9">
        <v>1912.0</v>
      </c>
      <c r="D92" s="10">
        <v>22.0</v>
      </c>
      <c r="E92" s="11" t="s">
        <v>11</v>
      </c>
      <c r="F92" s="9" t="s">
        <v>26</v>
      </c>
      <c r="G92" s="9" t="s">
        <v>33</v>
      </c>
      <c r="H92" s="15" t="s">
        <v>19</v>
      </c>
      <c r="I92" s="12"/>
      <c r="J92" s="13">
        <v>0.0</v>
      </c>
      <c r="K92" s="14" t="s">
        <v>24</v>
      </c>
    </row>
    <row r="93" ht="15.75" customHeight="1">
      <c r="A93" s="9" t="s">
        <v>122</v>
      </c>
      <c r="B93" s="9">
        <v>1891.0</v>
      </c>
      <c r="C93" s="9">
        <v>1965.0</v>
      </c>
      <c r="D93" s="10">
        <v>21.0</v>
      </c>
      <c r="E93" s="11" t="s">
        <v>11</v>
      </c>
      <c r="F93" s="9" t="s">
        <v>26</v>
      </c>
      <c r="G93" s="9" t="s">
        <v>22</v>
      </c>
      <c r="H93" s="9" t="s">
        <v>13</v>
      </c>
      <c r="I93" s="9" t="s">
        <v>40</v>
      </c>
      <c r="J93" s="13">
        <v>0.0</v>
      </c>
      <c r="K93" s="14" t="s">
        <v>24</v>
      </c>
    </row>
    <row r="94" ht="15.75" customHeight="1">
      <c r="A94" s="9" t="s">
        <v>123</v>
      </c>
      <c r="B94" s="9">
        <v>1868.0</v>
      </c>
      <c r="C94" s="9">
        <v>1912.0</v>
      </c>
      <c r="D94" s="10">
        <v>44.0</v>
      </c>
      <c r="E94" s="11" t="s">
        <v>11</v>
      </c>
      <c r="F94" s="9" t="s">
        <v>26</v>
      </c>
      <c r="G94" s="9" t="s">
        <v>33</v>
      </c>
      <c r="H94" s="15" t="s">
        <v>19</v>
      </c>
      <c r="J94" s="13">
        <v>0.0</v>
      </c>
      <c r="K94" s="14" t="s">
        <v>14</v>
      </c>
    </row>
    <row r="95" ht="15.75" customHeight="1">
      <c r="A95" s="9" t="s">
        <v>124</v>
      </c>
      <c r="B95" s="9">
        <v>1887.0</v>
      </c>
      <c r="C95" s="9">
        <v>1912.0</v>
      </c>
      <c r="D95" s="10">
        <v>25.0</v>
      </c>
      <c r="E95" s="11" t="s">
        <v>11</v>
      </c>
      <c r="F95" s="9" t="s">
        <v>16</v>
      </c>
      <c r="G95" s="9" t="s">
        <v>22</v>
      </c>
      <c r="H95" s="15" t="s">
        <v>19</v>
      </c>
      <c r="I95" s="9" t="s">
        <v>27</v>
      </c>
      <c r="J95" s="16"/>
      <c r="K95" s="14" t="s">
        <v>24</v>
      </c>
    </row>
    <row r="96" ht="15.75" customHeight="1">
      <c r="A96" s="9" t="s">
        <v>125</v>
      </c>
      <c r="B96" s="9">
        <v>1849.0</v>
      </c>
      <c r="C96" s="9">
        <v>1912.0</v>
      </c>
      <c r="D96" s="10">
        <v>63.0</v>
      </c>
      <c r="E96" s="17" t="s">
        <v>30</v>
      </c>
      <c r="F96" s="9" t="s">
        <v>26</v>
      </c>
      <c r="G96" s="9" t="s">
        <v>33</v>
      </c>
      <c r="H96" s="15" t="s">
        <v>19</v>
      </c>
      <c r="J96" s="13">
        <v>0.0</v>
      </c>
      <c r="K96" s="14" t="s">
        <v>20</v>
      </c>
    </row>
    <row r="97" ht="15.75" customHeight="1">
      <c r="A97" s="9" t="s">
        <v>126</v>
      </c>
      <c r="B97" s="9">
        <v>1840.0</v>
      </c>
      <c r="C97" s="9">
        <v>1912.0</v>
      </c>
      <c r="D97" s="10">
        <v>72.0</v>
      </c>
      <c r="E97" s="11" t="s">
        <v>11</v>
      </c>
      <c r="F97" s="9" t="s">
        <v>26</v>
      </c>
      <c r="G97" s="9" t="s">
        <v>22</v>
      </c>
      <c r="H97" s="15" t="s">
        <v>19</v>
      </c>
      <c r="I97" s="9" t="s">
        <v>27</v>
      </c>
      <c r="J97" s="13">
        <v>0.0</v>
      </c>
      <c r="K97" s="14" t="s">
        <v>20</v>
      </c>
    </row>
    <row r="98" ht="15.75" customHeight="1">
      <c r="A98" s="9" t="s">
        <v>127</v>
      </c>
      <c r="B98" s="9">
        <v>1890.0</v>
      </c>
      <c r="C98" s="9">
        <v>1912.0</v>
      </c>
      <c r="D98" s="10">
        <v>22.0</v>
      </c>
      <c r="E98" s="11" t="s">
        <v>11</v>
      </c>
      <c r="F98" s="9" t="s">
        <v>16</v>
      </c>
      <c r="G98" s="9" t="s">
        <v>22</v>
      </c>
      <c r="H98" s="15" t="s">
        <v>19</v>
      </c>
      <c r="I98" s="9" t="s">
        <v>27</v>
      </c>
      <c r="J98" s="16"/>
      <c r="K98" s="14" t="s">
        <v>24</v>
      </c>
    </row>
    <row r="99" ht="15.75" customHeight="1">
      <c r="A99" s="9" t="s">
        <v>128</v>
      </c>
      <c r="B99" s="9">
        <v>1894.0</v>
      </c>
      <c r="C99" s="9">
        <v>1912.0</v>
      </c>
      <c r="D99" s="10">
        <v>18.0</v>
      </c>
      <c r="E99" s="11" t="s">
        <v>11</v>
      </c>
      <c r="F99" s="9" t="s">
        <v>26</v>
      </c>
      <c r="G99" s="9" t="s">
        <v>22</v>
      </c>
      <c r="H99" s="15" t="s">
        <v>19</v>
      </c>
      <c r="I99" s="9" t="s">
        <v>27</v>
      </c>
      <c r="J99" s="16"/>
      <c r="K99" s="14" t="s">
        <v>31</v>
      </c>
    </row>
    <row r="100" ht="15.75" customHeight="1">
      <c r="A100" s="9" t="s">
        <v>129</v>
      </c>
      <c r="B100" s="9">
        <v>1908.0</v>
      </c>
      <c r="C100" s="9">
        <v>1961.0</v>
      </c>
      <c r="D100" s="10">
        <v>4.0</v>
      </c>
      <c r="E100" s="11" t="s">
        <v>11</v>
      </c>
      <c r="F100" s="9" t="s">
        <v>16</v>
      </c>
      <c r="G100" s="9" t="s">
        <v>12</v>
      </c>
      <c r="H100" s="9" t="s">
        <v>13</v>
      </c>
      <c r="I100" s="12"/>
      <c r="J100" s="13">
        <v>0.0</v>
      </c>
      <c r="K100" s="14" t="s">
        <v>31</v>
      </c>
    </row>
    <row r="101" ht="15.75" customHeight="1">
      <c r="A101" s="9" t="s">
        <v>130</v>
      </c>
      <c r="B101" s="9">
        <v>1874.0</v>
      </c>
      <c r="C101" s="9">
        <v>1950.0</v>
      </c>
      <c r="D101" s="10">
        <v>38.0</v>
      </c>
      <c r="E101" s="17" t="s">
        <v>30</v>
      </c>
      <c r="F101" s="9" t="s">
        <v>26</v>
      </c>
      <c r="G101" s="9" t="s">
        <v>12</v>
      </c>
      <c r="H101" s="9" t="s">
        <v>13</v>
      </c>
      <c r="J101" s="13">
        <v>0.0</v>
      </c>
      <c r="K101" s="14" t="s">
        <v>24</v>
      </c>
    </row>
    <row r="102" ht="15.75" customHeight="1">
      <c r="A102" s="9" t="s">
        <v>131</v>
      </c>
      <c r="B102" s="9">
        <v>1899.0</v>
      </c>
      <c r="C102" s="9">
        <v>1912.0</v>
      </c>
      <c r="D102" s="10">
        <v>13.0</v>
      </c>
      <c r="E102" s="11" t="s">
        <v>11</v>
      </c>
      <c r="G102" s="9" t="s">
        <v>33</v>
      </c>
      <c r="H102" s="15" t="s">
        <v>19</v>
      </c>
      <c r="I102" s="12"/>
      <c r="J102" s="16"/>
      <c r="K102" s="14" t="s">
        <v>31</v>
      </c>
    </row>
    <row r="103" ht="15.75" customHeight="1">
      <c r="A103" s="9" t="s">
        <v>132</v>
      </c>
      <c r="B103" s="9">
        <v>1880.0</v>
      </c>
      <c r="C103" s="9">
        <v>1912.0</v>
      </c>
      <c r="D103" s="10">
        <v>32.0</v>
      </c>
      <c r="E103" s="11" t="s">
        <v>11</v>
      </c>
      <c r="F103" s="9" t="s">
        <v>26</v>
      </c>
      <c r="G103" s="9" t="s">
        <v>22</v>
      </c>
      <c r="H103" s="15" t="s">
        <v>19</v>
      </c>
      <c r="I103" s="9" t="s">
        <v>40</v>
      </c>
      <c r="J103" s="16"/>
      <c r="K103" s="14" t="s">
        <v>24</v>
      </c>
    </row>
    <row r="104" ht="15.75" customHeight="1">
      <c r="A104" s="9" t="s">
        <v>133</v>
      </c>
      <c r="B104" s="9">
        <v>1907.0</v>
      </c>
      <c r="C104" s="9">
        <v>1927.0</v>
      </c>
      <c r="D104" s="10">
        <v>5.0</v>
      </c>
      <c r="E104" s="11" t="s">
        <v>11</v>
      </c>
      <c r="F104" s="9" t="s">
        <v>16</v>
      </c>
      <c r="G104" s="9" t="s">
        <v>33</v>
      </c>
      <c r="H104" s="9" t="s">
        <v>13</v>
      </c>
      <c r="J104" s="13">
        <v>0.0</v>
      </c>
      <c r="K104" s="14" t="s">
        <v>31</v>
      </c>
    </row>
    <row r="105" ht="15.75" customHeight="1">
      <c r="A105" s="9" t="s">
        <v>134</v>
      </c>
      <c r="B105" s="9">
        <v>1865.0</v>
      </c>
      <c r="C105" s="9">
        <v>1912.0</v>
      </c>
      <c r="D105" s="10">
        <v>47.0</v>
      </c>
      <c r="E105" s="11" t="s">
        <v>11</v>
      </c>
      <c r="F105" s="9" t="s">
        <v>26</v>
      </c>
      <c r="G105" s="9" t="s">
        <v>22</v>
      </c>
      <c r="H105" s="15" t="s">
        <v>19</v>
      </c>
      <c r="I105" s="9" t="s">
        <v>27</v>
      </c>
      <c r="J105" s="16"/>
      <c r="K105" s="14" t="s">
        <v>14</v>
      </c>
    </row>
    <row r="106" ht="15.75" customHeight="1">
      <c r="A106" s="9" t="s">
        <v>135</v>
      </c>
      <c r="B106" s="9">
        <v>1862.0</v>
      </c>
      <c r="C106" s="9">
        <v>1912.0</v>
      </c>
      <c r="D106" s="10">
        <v>50.0</v>
      </c>
      <c r="E106" s="11" t="s">
        <v>11</v>
      </c>
      <c r="G106" s="9" t="s">
        <v>33</v>
      </c>
      <c r="H106" s="15" t="s">
        <v>19</v>
      </c>
      <c r="I106" s="12"/>
      <c r="J106" s="16"/>
      <c r="K106" s="14" t="s">
        <v>14</v>
      </c>
    </row>
    <row r="107" ht="15.75" customHeight="1">
      <c r="A107" s="9" t="s">
        <v>136</v>
      </c>
      <c r="B107" s="9">
        <v>1891.0</v>
      </c>
      <c r="C107" s="9">
        <v>1912.0</v>
      </c>
      <c r="D107" s="10">
        <v>21.0</v>
      </c>
      <c r="E107" s="11" t="s">
        <v>11</v>
      </c>
      <c r="G107" s="9" t="s">
        <v>33</v>
      </c>
      <c r="H107" s="15" t="s">
        <v>19</v>
      </c>
      <c r="I107" s="12"/>
      <c r="J107" s="16"/>
      <c r="K107" s="14" t="s">
        <v>24</v>
      </c>
    </row>
    <row r="108" ht="15.75" customHeight="1">
      <c r="A108" s="9" t="s">
        <v>137</v>
      </c>
      <c r="B108" s="9">
        <v>1853.0</v>
      </c>
      <c r="C108" s="9">
        <v>1912.0</v>
      </c>
      <c r="D108" s="10">
        <v>59.0</v>
      </c>
      <c r="E108" s="17" t="s">
        <v>30</v>
      </c>
      <c r="G108" s="9" t="s">
        <v>33</v>
      </c>
      <c r="H108" s="15" t="s">
        <v>19</v>
      </c>
      <c r="J108" s="16"/>
      <c r="K108" s="14" t="s">
        <v>14</v>
      </c>
    </row>
    <row r="109" ht="15.75" customHeight="1">
      <c r="A109" s="9" t="s">
        <v>138</v>
      </c>
      <c r="B109" s="9">
        <v>1878.0</v>
      </c>
      <c r="C109" s="9">
        <v>1956.0</v>
      </c>
      <c r="D109" s="10">
        <v>34.0</v>
      </c>
      <c r="E109" s="17" t="s">
        <v>30</v>
      </c>
      <c r="F109" s="9" t="s">
        <v>26</v>
      </c>
      <c r="G109" s="9" t="s">
        <v>33</v>
      </c>
      <c r="H109" s="9" t="s">
        <v>13</v>
      </c>
      <c r="I109" s="12"/>
      <c r="J109" s="13">
        <v>0.0</v>
      </c>
      <c r="K109" s="14" t="s">
        <v>24</v>
      </c>
    </row>
    <row r="110" ht="15.75" customHeight="1">
      <c r="A110" s="9" t="s">
        <v>139</v>
      </c>
      <c r="B110" s="9">
        <v>1844.0</v>
      </c>
      <c r="C110" s="9">
        <v>1912.0</v>
      </c>
      <c r="D110" s="10">
        <v>68.0</v>
      </c>
      <c r="E110" s="11" t="s">
        <v>11</v>
      </c>
      <c r="F110" s="9" t="s">
        <v>26</v>
      </c>
      <c r="G110" s="9" t="s">
        <v>22</v>
      </c>
      <c r="H110" s="15" t="s">
        <v>19</v>
      </c>
      <c r="I110" s="9" t="s">
        <v>40</v>
      </c>
      <c r="J110" s="13">
        <v>0.0</v>
      </c>
      <c r="K110" s="14" t="s">
        <v>20</v>
      </c>
    </row>
    <row r="111" ht="15.75" customHeight="1">
      <c r="A111" s="9" t="s">
        <v>140</v>
      </c>
      <c r="B111" s="9">
        <v>1840.0</v>
      </c>
      <c r="C111" s="9">
        <v>1912.0</v>
      </c>
      <c r="D111" s="10">
        <v>72.0</v>
      </c>
      <c r="E111" s="11" t="s">
        <v>11</v>
      </c>
      <c r="F111" s="9" t="s">
        <v>26</v>
      </c>
      <c r="G111" s="9" t="s">
        <v>12</v>
      </c>
      <c r="H111" s="15" t="s">
        <v>19</v>
      </c>
      <c r="J111" s="16"/>
      <c r="K111" s="14" t="s">
        <v>20</v>
      </c>
    </row>
    <row r="112" ht="15.75" customHeight="1">
      <c r="A112" s="9" t="s">
        <v>141</v>
      </c>
      <c r="B112" s="9">
        <v>1880.0</v>
      </c>
      <c r="C112" s="9">
        <v>1912.0</v>
      </c>
      <c r="D112" s="10">
        <v>32.0</v>
      </c>
      <c r="E112" s="11" t="s">
        <v>11</v>
      </c>
      <c r="G112" s="9" t="s">
        <v>33</v>
      </c>
      <c r="H112" s="15" t="s">
        <v>19</v>
      </c>
      <c r="I112" s="12"/>
      <c r="J112" s="13">
        <v>0.0</v>
      </c>
      <c r="K112" s="14" t="s">
        <v>24</v>
      </c>
    </row>
    <row r="113" ht="15.75" customHeight="1">
      <c r="A113" s="9" t="s">
        <v>142</v>
      </c>
      <c r="B113" s="9">
        <v>1857.0</v>
      </c>
      <c r="C113" s="9">
        <v>1912.0</v>
      </c>
      <c r="D113" s="10">
        <v>55.0</v>
      </c>
      <c r="E113" s="11" t="s">
        <v>11</v>
      </c>
      <c r="F113" s="9" t="s">
        <v>26</v>
      </c>
      <c r="G113" s="9" t="s">
        <v>33</v>
      </c>
      <c r="H113" s="15" t="s">
        <v>19</v>
      </c>
      <c r="I113" s="12"/>
      <c r="J113" s="16"/>
      <c r="K113" s="14" t="s">
        <v>14</v>
      </c>
    </row>
    <row r="114" ht="15.75" customHeight="1">
      <c r="A114" s="9" t="s">
        <v>143</v>
      </c>
      <c r="B114" s="9">
        <v>1896.0</v>
      </c>
      <c r="C114" s="9">
        <v>1912.0</v>
      </c>
      <c r="D114" s="10">
        <v>16.0</v>
      </c>
      <c r="E114" s="11" t="s">
        <v>11</v>
      </c>
      <c r="F114" s="9" t="s">
        <v>26</v>
      </c>
      <c r="G114" s="9" t="s">
        <v>22</v>
      </c>
      <c r="H114" s="15" t="s">
        <v>19</v>
      </c>
      <c r="I114" s="9" t="s">
        <v>40</v>
      </c>
      <c r="J114" s="16"/>
      <c r="K114" s="14" t="s">
        <v>31</v>
      </c>
    </row>
    <row r="115" ht="15.75" customHeight="1">
      <c r="A115" s="9" t="s">
        <v>144</v>
      </c>
      <c r="B115" s="9">
        <v>1854.0</v>
      </c>
      <c r="C115" s="9">
        <v>1931.0</v>
      </c>
      <c r="D115" s="10">
        <v>58.0</v>
      </c>
      <c r="E115" s="17" t="s">
        <v>30</v>
      </c>
      <c r="F115" s="9" t="s">
        <v>26</v>
      </c>
      <c r="G115" s="9" t="s">
        <v>18</v>
      </c>
      <c r="H115" s="9" t="s">
        <v>13</v>
      </c>
      <c r="I115" s="12"/>
      <c r="J115" s="16"/>
      <c r="K115" s="14" t="s">
        <v>14</v>
      </c>
    </row>
    <row r="116" ht="15.75" customHeight="1">
      <c r="A116" s="9" t="s">
        <v>145</v>
      </c>
      <c r="B116" s="9">
        <v>1856.0</v>
      </c>
      <c r="C116" s="9">
        <v>1912.0</v>
      </c>
      <c r="D116" s="10">
        <v>56.0</v>
      </c>
      <c r="E116" s="11" t="s">
        <v>11</v>
      </c>
      <c r="F116" s="9" t="s">
        <v>26</v>
      </c>
      <c r="G116" s="9" t="s">
        <v>22</v>
      </c>
      <c r="H116" s="15" t="s">
        <v>19</v>
      </c>
      <c r="I116" s="9" t="s">
        <v>27</v>
      </c>
      <c r="J116" s="13">
        <v>0.0</v>
      </c>
      <c r="K116" s="14" t="s">
        <v>14</v>
      </c>
    </row>
    <row r="117" ht="15.75" customHeight="1">
      <c r="A117" s="9" t="s">
        <v>146</v>
      </c>
      <c r="B117" s="9">
        <v>1905.0</v>
      </c>
      <c r="C117" s="9">
        <v>1975.0</v>
      </c>
      <c r="D117" s="10">
        <v>7.0</v>
      </c>
      <c r="E117" s="11" t="s">
        <v>11</v>
      </c>
      <c r="G117" s="9" t="s">
        <v>18</v>
      </c>
      <c r="H117" s="9" t="s">
        <v>13</v>
      </c>
      <c r="J117" s="16"/>
      <c r="K117" s="14" t="s">
        <v>31</v>
      </c>
    </row>
    <row r="118" ht="15.75" customHeight="1">
      <c r="A118" s="9" t="s">
        <v>147</v>
      </c>
      <c r="B118" s="9">
        <v>1870.0</v>
      </c>
      <c r="C118" s="9">
        <v>1912.0</v>
      </c>
      <c r="D118" s="10">
        <v>42.0</v>
      </c>
      <c r="E118" s="11" t="s">
        <v>11</v>
      </c>
      <c r="F118" s="9" t="s">
        <v>26</v>
      </c>
      <c r="G118" s="9" t="s">
        <v>33</v>
      </c>
      <c r="H118" s="15" t="s">
        <v>19</v>
      </c>
      <c r="J118" s="13">
        <v>0.0</v>
      </c>
      <c r="K118" s="14" t="s">
        <v>14</v>
      </c>
    </row>
    <row r="119" ht="15.75" customHeight="1">
      <c r="A119" s="9" t="s">
        <v>148</v>
      </c>
      <c r="B119" s="9">
        <v>1859.0</v>
      </c>
      <c r="C119" s="9">
        <v>1912.0</v>
      </c>
      <c r="D119" s="10">
        <v>53.0</v>
      </c>
      <c r="E119" s="17" t="s">
        <v>30</v>
      </c>
      <c r="F119" s="9" t="s">
        <v>16</v>
      </c>
      <c r="G119" s="9" t="s">
        <v>33</v>
      </c>
      <c r="H119" s="15" t="s">
        <v>19</v>
      </c>
      <c r="I119" s="12"/>
      <c r="J119" s="13">
        <v>0.0</v>
      </c>
      <c r="K119" s="14" t="s">
        <v>14</v>
      </c>
    </row>
    <row r="120" ht="15.75" customHeight="1">
      <c r="A120" s="9" t="s">
        <v>149</v>
      </c>
      <c r="B120" s="9">
        <v>1851.0</v>
      </c>
      <c r="C120" s="9">
        <v>1912.0</v>
      </c>
      <c r="D120" s="10">
        <v>61.0</v>
      </c>
      <c r="E120" s="11" t="s">
        <v>11</v>
      </c>
      <c r="F120" s="9" t="s">
        <v>16</v>
      </c>
      <c r="G120" s="9" t="s">
        <v>22</v>
      </c>
      <c r="H120" s="15" t="s">
        <v>19</v>
      </c>
      <c r="I120" s="9" t="s">
        <v>27</v>
      </c>
      <c r="J120" s="13">
        <v>0.0</v>
      </c>
      <c r="K120" s="14" t="s">
        <v>20</v>
      </c>
    </row>
    <row r="121" ht="15.75" customHeight="1">
      <c r="A121" s="9" t="s">
        <v>150</v>
      </c>
      <c r="B121" s="9">
        <v>1844.0</v>
      </c>
      <c r="C121" s="9">
        <v>1912.0</v>
      </c>
      <c r="D121" s="10">
        <v>68.0</v>
      </c>
      <c r="E121" s="11" t="s">
        <v>11</v>
      </c>
      <c r="F121" s="9" t="s">
        <v>16</v>
      </c>
      <c r="G121" s="9" t="s">
        <v>18</v>
      </c>
      <c r="H121" s="15" t="s">
        <v>19</v>
      </c>
      <c r="I121" s="12"/>
      <c r="J121" s="16"/>
      <c r="K121" s="14" t="s">
        <v>20</v>
      </c>
    </row>
    <row r="122" ht="15.75" customHeight="1">
      <c r="A122" s="9" t="s">
        <v>151</v>
      </c>
      <c r="B122" s="9">
        <v>1869.0</v>
      </c>
      <c r="C122" s="9">
        <v>1953.0</v>
      </c>
      <c r="D122" s="10">
        <v>43.0</v>
      </c>
      <c r="E122" s="17" t="s">
        <v>30</v>
      </c>
      <c r="F122" s="9" t="s">
        <v>16</v>
      </c>
      <c r="G122" s="9" t="s">
        <v>12</v>
      </c>
      <c r="H122" s="9" t="s">
        <v>13</v>
      </c>
      <c r="I122" s="12"/>
      <c r="J122" s="16"/>
      <c r="K122" s="14" t="s">
        <v>14</v>
      </c>
    </row>
    <row r="123" ht="15.75" customHeight="1">
      <c r="A123" s="9" t="s">
        <v>152</v>
      </c>
      <c r="B123" s="9">
        <v>1859.0</v>
      </c>
      <c r="C123" s="9">
        <v>1912.0</v>
      </c>
      <c r="D123" s="10">
        <v>53.0</v>
      </c>
      <c r="E123" s="11" t="s">
        <v>11</v>
      </c>
      <c r="F123" s="9" t="s">
        <v>16</v>
      </c>
      <c r="G123" s="9" t="s">
        <v>22</v>
      </c>
      <c r="H123" s="15" t="s">
        <v>19</v>
      </c>
      <c r="I123" s="9" t="s">
        <v>27</v>
      </c>
      <c r="J123" s="16"/>
      <c r="K123" s="14" t="s">
        <v>14</v>
      </c>
    </row>
    <row r="124" ht="15.75" customHeight="1">
      <c r="A124" s="9" t="s">
        <v>153</v>
      </c>
      <c r="B124" s="9">
        <v>1869.0</v>
      </c>
      <c r="C124" s="9">
        <v>1912.0</v>
      </c>
      <c r="D124" s="10">
        <v>43.0</v>
      </c>
      <c r="E124" s="11" t="s">
        <v>11</v>
      </c>
      <c r="F124" s="9" t="s">
        <v>26</v>
      </c>
      <c r="G124" s="9" t="s">
        <v>22</v>
      </c>
      <c r="H124" s="15" t="s">
        <v>19</v>
      </c>
      <c r="I124" s="9" t="s">
        <v>27</v>
      </c>
      <c r="J124" s="13">
        <v>0.0</v>
      </c>
      <c r="K124" s="14" t="s">
        <v>14</v>
      </c>
    </row>
    <row r="125" ht="15.75" customHeight="1">
      <c r="A125" s="9" t="s">
        <v>154</v>
      </c>
      <c r="B125" s="9">
        <v>1876.0</v>
      </c>
      <c r="C125" s="9">
        <v>1912.0</v>
      </c>
      <c r="D125" s="10">
        <v>36.0</v>
      </c>
      <c r="E125" s="17" t="s">
        <v>30</v>
      </c>
      <c r="F125" s="9" t="s">
        <v>26</v>
      </c>
      <c r="G125" s="9" t="s">
        <v>33</v>
      </c>
      <c r="H125" s="15" t="s">
        <v>19</v>
      </c>
      <c r="I125" s="12"/>
      <c r="J125" s="16"/>
      <c r="K125" s="14" t="s">
        <v>24</v>
      </c>
    </row>
    <row r="126" ht="15.75" customHeight="1">
      <c r="A126" s="9" t="s">
        <v>155</v>
      </c>
      <c r="B126" s="9">
        <v>1862.0</v>
      </c>
      <c r="C126" s="9">
        <v>1912.0</v>
      </c>
      <c r="D126" s="10">
        <v>50.0</v>
      </c>
      <c r="E126" s="11" t="s">
        <v>11</v>
      </c>
      <c r="F126" s="9" t="s">
        <v>16</v>
      </c>
      <c r="G126" s="9" t="s">
        <v>22</v>
      </c>
      <c r="H126" s="15" t="s">
        <v>19</v>
      </c>
      <c r="I126" s="9" t="s">
        <v>40</v>
      </c>
      <c r="J126" s="16"/>
      <c r="K126" s="14" t="s">
        <v>14</v>
      </c>
    </row>
    <row r="127" ht="15.75" customHeight="1">
      <c r="A127" s="9" t="s">
        <v>156</v>
      </c>
      <c r="B127" s="9">
        <v>1910.0</v>
      </c>
      <c r="C127" s="9">
        <v>1923.0</v>
      </c>
      <c r="D127" s="10">
        <v>2.0</v>
      </c>
      <c r="E127" s="17" t="s">
        <v>30</v>
      </c>
      <c r="F127" s="9" t="s">
        <v>47</v>
      </c>
      <c r="G127" s="9" t="s">
        <v>12</v>
      </c>
      <c r="H127" s="9" t="s">
        <v>13</v>
      </c>
      <c r="I127" s="12"/>
      <c r="J127" s="13">
        <v>0.0</v>
      </c>
      <c r="K127" s="14" t="s">
        <v>31</v>
      </c>
    </row>
    <row r="128" ht="15.75" customHeight="1">
      <c r="A128" s="9" t="s">
        <v>157</v>
      </c>
      <c r="B128" s="9">
        <v>1858.0</v>
      </c>
      <c r="C128" s="9">
        <v>1912.0</v>
      </c>
      <c r="D128" s="10">
        <v>54.0</v>
      </c>
      <c r="E128" s="11" t="s">
        <v>11</v>
      </c>
      <c r="F128" s="9" t="s">
        <v>47</v>
      </c>
      <c r="G128" s="9" t="s">
        <v>22</v>
      </c>
      <c r="H128" s="15" t="s">
        <v>19</v>
      </c>
      <c r="I128" s="9" t="s">
        <v>27</v>
      </c>
      <c r="J128" s="16"/>
      <c r="K128" s="14" t="s">
        <v>14</v>
      </c>
    </row>
    <row r="129" ht="15.75" customHeight="1">
      <c r="A129" s="9" t="s">
        <v>158</v>
      </c>
      <c r="B129" s="9">
        <v>1876.0</v>
      </c>
      <c r="C129" s="9">
        <v>1912.0</v>
      </c>
      <c r="D129" s="10">
        <v>36.0</v>
      </c>
      <c r="E129" s="17" t="s">
        <v>30</v>
      </c>
      <c r="G129" s="9" t="s">
        <v>33</v>
      </c>
      <c r="H129" s="15" t="s">
        <v>19</v>
      </c>
      <c r="I129" s="12"/>
      <c r="J129" s="16"/>
      <c r="K129" s="14" t="s">
        <v>24</v>
      </c>
    </row>
    <row r="130" ht="15.75" customHeight="1">
      <c r="A130" s="9" t="s">
        <v>159</v>
      </c>
      <c r="B130" s="9">
        <v>1841.0</v>
      </c>
      <c r="C130" s="9">
        <v>1939.0</v>
      </c>
      <c r="D130" s="10">
        <v>71.0</v>
      </c>
      <c r="E130" s="11" t="s">
        <v>11</v>
      </c>
      <c r="F130" s="9" t="s">
        <v>16</v>
      </c>
      <c r="G130" s="9" t="s">
        <v>22</v>
      </c>
      <c r="H130" s="9" t="s">
        <v>13</v>
      </c>
      <c r="I130" s="9" t="s">
        <v>27</v>
      </c>
      <c r="J130" s="13">
        <v>0.0</v>
      </c>
      <c r="K130" s="14" t="s">
        <v>20</v>
      </c>
    </row>
    <row r="131" ht="15.75" customHeight="1">
      <c r="A131" s="9" t="s">
        <v>160</v>
      </c>
      <c r="B131" s="9">
        <v>1908.0</v>
      </c>
      <c r="C131" s="9">
        <v>1962.0</v>
      </c>
      <c r="D131" s="10">
        <v>4.0</v>
      </c>
      <c r="E131" s="17" t="s">
        <v>30</v>
      </c>
      <c r="F131" s="9" t="s">
        <v>26</v>
      </c>
      <c r="G131" s="9" t="s">
        <v>18</v>
      </c>
      <c r="H131" s="9" t="s">
        <v>13</v>
      </c>
      <c r="I131" s="12"/>
      <c r="J131" s="13">
        <v>0.0</v>
      </c>
      <c r="K131" s="14" t="s">
        <v>31</v>
      </c>
    </row>
    <row r="132" ht="15.75" customHeight="1">
      <c r="A132" s="9" t="s">
        <v>161</v>
      </c>
      <c r="B132" s="9">
        <v>1847.0</v>
      </c>
      <c r="C132" s="9">
        <v>1912.0</v>
      </c>
      <c r="D132" s="10">
        <v>65.0</v>
      </c>
      <c r="E132" s="11" t="s">
        <v>11</v>
      </c>
      <c r="F132" s="9" t="s">
        <v>26</v>
      </c>
      <c r="G132" s="9" t="s">
        <v>12</v>
      </c>
      <c r="H132" s="15" t="s">
        <v>19</v>
      </c>
      <c r="I132" s="12"/>
      <c r="J132" s="13">
        <v>0.0</v>
      </c>
      <c r="K132" s="14" t="s">
        <v>20</v>
      </c>
    </row>
    <row r="133" ht="15.75" customHeight="1">
      <c r="A133" s="9" t="s">
        <v>162</v>
      </c>
      <c r="B133" s="9">
        <v>1892.0</v>
      </c>
      <c r="C133" s="9">
        <v>1912.0</v>
      </c>
      <c r="D133" s="10">
        <v>20.0</v>
      </c>
      <c r="E133" s="11" t="s">
        <v>11</v>
      </c>
      <c r="G133" s="9" t="s">
        <v>22</v>
      </c>
      <c r="H133" s="15" t="s">
        <v>19</v>
      </c>
      <c r="I133" s="9" t="s">
        <v>35</v>
      </c>
      <c r="J133" s="16"/>
      <c r="K133" s="14" t="s">
        <v>24</v>
      </c>
    </row>
    <row r="134" ht="15.75" customHeight="1">
      <c r="A134" s="9" t="s">
        <v>163</v>
      </c>
      <c r="B134" s="9">
        <v>1872.0</v>
      </c>
      <c r="C134" s="9">
        <v>1961.0</v>
      </c>
      <c r="D134" s="10">
        <v>40.0</v>
      </c>
      <c r="E134" s="11" t="s">
        <v>11</v>
      </c>
      <c r="F134" s="9" t="s">
        <v>26</v>
      </c>
      <c r="G134" s="9" t="s">
        <v>22</v>
      </c>
      <c r="H134" s="9" t="s">
        <v>13</v>
      </c>
      <c r="I134" s="9" t="s">
        <v>27</v>
      </c>
      <c r="J134" s="13">
        <v>0.0</v>
      </c>
      <c r="K134" s="14" t="s">
        <v>14</v>
      </c>
    </row>
    <row r="135" ht="15.75" customHeight="1">
      <c r="A135" s="9" t="s">
        <v>164</v>
      </c>
      <c r="B135" s="9">
        <v>1890.0</v>
      </c>
      <c r="C135" s="9">
        <v>1912.0</v>
      </c>
      <c r="D135" s="10">
        <v>22.0</v>
      </c>
      <c r="E135" s="11" t="s">
        <v>11</v>
      </c>
      <c r="F135" s="9" t="s">
        <v>16</v>
      </c>
      <c r="G135" s="9" t="s">
        <v>22</v>
      </c>
      <c r="H135" s="15" t="s">
        <v>19</v>
      </c>
      <c r="I135" s="9" t="s">
        <v>40</v>
      </c>
      <c r="J135" s="16"/>
      <c r="K135" s="14" t="s">
        <v>24</v>
      </c>
    </row>
    <row r="136" ht="15.75" customHeight="1">
      <c r="A136" s="9" t="s">
        <v>165</v>
      </c>
      <c r="B136" s="9">
        <v>1853.0</v>
      </c>
      <c r="C136" s="9">
        <v>1912.0</v>
      </c>
      <c r="D136" s="10">
        <v>59.0</v>
      </c>
      <c r="E136" s="11" t="s">
        <v>11</v>
      </c>
      <c r="F136" s="9" t="s">
        <v>16</v>
      </c>
      <c r="G136" s="9" t="s">
        <v>22</v>
      </c>
      <c r="H136" s="15" t="s">
        <v>19</v>
      </c>
      <c r="I136" s="9" t="s">
        <v>27</v>
      </c>
      <c r="J136" s="16"/>
      <c r="K136" s="14" t="s">
        <v>14</v>
      </c>
    </row>
    <row r="137" ht="15.75" customHeight="1">
      <c r="A137" s="9" t="s">
        <v>166</v>
      </c>
      <c r="B137" s="9">
        <v>1866.0</v>
      </c>
      <c r="C137" s="9">
        <v>1912.0</v>
      </c>
      <c r="D137" s="10">
        <v>46.0</v>
      </c>
      <c r="E137" s="11" t="s">
        <v>11</v>
      </c>
      <c r="F137" s="9" t="s">
        <v>16</v>
      </c>
      <c r="G137" s="9" t="s">
        <v>22</v>
      </c>
      <c r="H137" s="15" t="s">
        <v>19</v>
      </c>
      <c r="I137" s="9" t="s">
        <v>27</v>
      </c>
      <c r="J137" s="13">
        <v>0.0</v>
      </c>
      <c r="K137" s="14" t="s">
        <v>14</v>
      </c>
    </row>
    <row r="138" ht="15.75" customHeight="1">
      <c r="A138" s="9" t="s">
        <v>167</v>
      </c>
      <c r="B138" s="9">
        <v>1873.0</v>
      </c>
      <c r="C138" s="9">
        <v>1912.0</v>
      </c>
      <c r="D138" s="10">
        <v>39.0</v>
      </c>
      <c r="E138" s="11" t="s">
        <v>11</v>
      </c>
      <c r="F138" s="9" t="s">
        <v>16</v>
      </c>
      <c r="G138" s="9" t="s">
        <v>22</v>
      </c>
      <c r="H138" s="15" t="s">
        <v>19</v>
      </c>
      <c r="I138" s="9" t="s">
        <v>40</v>
      </c>
      <c r="J138" s="16"/>
      <c r="K138" s="14" t="s">
        <v>24</v>
      </c>
    </row>
    <row r="139" ht="15.75" customHeight="1">
      <c r="A139" s="9" t="s">
        <v>168</v>
      </c>
      <c r="B139" s="9">
        <v>1875.0</v>
      </c>
      <c r="C139" s="9">
        <v>1946.0</v>
      </c>
      <c r="D139" s="10">
        <v>37.0</v>
      </c>
      <c r="E139" s="17" t="s">
        <v>30</v>
      </c>
      <c r="F139" s="9" t="s">
        <v>26</v>
      </c>
      <c r="G139" s="9" t="s">
        <v>33</v>
      </c>
      <c r="H139" s="9" t="s">
        <v>13</v>
      </c>
      <c r="J139" s="13">
        <v>0.0</v>
      </c>
      <c r="K139" s="14" t="s">
        <v>24</v>
      </c>
    </row>
    <row r="140" ht="15.75" customHeight="1">
      <c r="A140" s="9" t="s">
        <v>169</v>
      </c>
      <c r="B140" s="9">
        <v>1847.0</v>
      </c>
      <c r="C140" s="9">
        <v>1912.0</v>
      </c>
      <c r="D140" s="10">
        <v>65.0</v>
      </c>
      <c r="E140" s="17" t="s">
        <v>30</v>
      </c>
      <c r="F140" s="9" t="s">
        <v>16</v>
      </c>
      <c r="G140" s="9" t="s">
        <v>33</v>
      </c>
      <c r="H140" s="15" t="s">
        <v>19</v>
      </c>
      <c r="J140" s="16"/>
      <c r="K140" s="14" t="s">
        <v>20</v>
      </c>
    </row>
    <row r="141" ht="15.75" customHeight="1">
      <c r="A141" s="9" t="s">
        <v>170</v>
      </c>
      <c r="B141" s="9">
        <v>1872.0</v>
      </c>
      <c r="C141" s="9">
        <v>1912.0</v>
      </c>
      <c r="D141" s="10">
        <v>40.0</v>
      </c>
      <c r="E141" s="11" t="s">
        <v>11</v>
      </c>
      <c r="F141" s="9" t="s">
        <v>16</v>
      </c>
      <c r="G141" s="9" t="s">
        <v>22</v>
      </c>
      <c r="H141" s="15" t="s">
        <v>19</v>
      </c>
      <c r="I141" s="9" t="s">
        <v>27</v>
      </c>
      <c r="J141" s="13">
        <v>0.0</v>
      </c>
      <c r="K141" s="14" t="s">
        <v>14</v>
      </c>
    </row>
    <row r="142" ht="15.75" customHeight="1">
      <c r="A142" s="9" t="s">
        <v>171</v>
      </c>
      <c r="B142" s="9">
        <v>1887.0</v>
      </c>
      <c r="C142" s="9">
        <v>1956.0</v>
      </c>
      <c r="D142" s="10">
        <v>25.0</v>
      </c>
      <c r="E142" s="11" t="s">
        <v>11</v>
      </c>
      <c r="F142" s="9" t="s">
        <v>26</v>
      </c>
      <c r="G142" s="9" t="s">
        <v>22</v>
      </c>
      <c r="H142" s="9" t="s">
        <v>13</v>
      </c>
      <c r="I142" s="9" t="s">
        <v>27</v>
      </c>
      <c r="J142" s="13">
        <v>0.0</v>
      </c>
      <c r="K142" s="14" t="s">
        <v>24</v>
      </c>
    </row>
    <row r="143" ht="15.75" customHeight="1">
      <c r="A143" s="9" t="s">
        <v>172</v>
      </c>
      <c r="B143" s="9">
        <v>1859.0</v>
      </c>
      <c r="C143" s="9">
        <v>1992.0</v>
      </c>
      <c r="D143" s="10">
        <v>53.0</v>
      </c>
      <c r="E143" s="11" t="s">
        <v>11</v>
      </c>
      <c r="G143" s="9" t="s">
        <v>18</v>
      </c>
      <c r="H143" s="9" t="s">
        <v>13</v>
      </c>
      <c r="J143" s="16"/>
      <c r="K143" s="14" t="s">
        <v>14</v>
      </c>
    </row>
    <row r="144" ht="15.75" customHeight="1">
      <c r="A144" s="9" t="s">
        <v>173</v>
      </c>
      <c r="B144" s="9">
        <v>1887.0</v>
      </c>
      <c r="C144" s="9">
        <v>1912.0</v>
      </c>
      <c r="D144" s="10">
        <v>25.0</v>
      </c>
      <c r="E144" s="11" t="s">
        <v>11</v>
      </c>
      <c r="F144" s="9" t="s">
        <v>26</v>
      </c>
      <c r="G144" s="9" t="s">
        <v>22</v>
      </c>
      <c r="H144" s="15" t="s">
        <v>19</v>
      </c>
      <c r="I144" s="9" t="s">
        <v>27</v>
      </c>
      <c r="J144" s="13">
        <v>0.0</v>
      </c>
      <c r="K144" s="14" t="s">
        <v>24</v>
      </c>
    </row>
    <row r="145" ht="15.75" customHeight="1">
      <c r="A145" s="9" t="s">
        <v>174</v>
      </c>
      <c r="B145" s="9">
        <v>1903.0</v>
      </c>
      <c r="C145" s="9">
        <v>1939.0</v>
      </c>
      <c r="D145" s="10">
        <v>9.0</v>
      </c>
      <c r="E145" s="17" t="s">
        <v>30</v>
      </c>
      <c r="G145" s="9" t="s">
        <v>33</v>
      </c>
      <c r="H145" s="9" t="s">
        <v>13</v>
      </c>
      <c r="I145" s="12"/>
      <c r="J145" s="16"/>
      <c r="K145" s="14" t="s">
        <v>31</v>
      </c>
    </row>
    <row r="146" ht="15.75" customHeight="1">
      <c r="A146" s="9" t="s">
        <v>175</v>
      </c>
      <c r="B146" s="9">
        <v>1900.0</v>
      </c>
      <c r="C146" s="9">
        <v>1912.0</v>
      </c>
      <c r="D146" s="10">
        <v>12.0</v>
      </c>
      <c r="E146" s="11" t="s">
        <v>11</v>
      </c>
      <c r="F146" s="9" t="s">
        <v>26</v>
      </c>
      <c r="G146" s="9" t="s">
        <v>33</v>
      </c>
      <c r="H146" s="15" t="s">
        <v>19</v>
      </c>
      <c r="J146" s="13">
        <v>0.0</v>
      </c>
      <c r="K146" s="14" t="s">
        <v>31</v>
      </c>
    </row>
    <row r="147" ht="15.75" customHeight="1">
      <c r="A147" s="9" t="s">
        <v>176</v>
      </c>
      <c r="B147" s="9">
        <v>1864.0</v>
      </c>
      <c r="C147" s="9">
        <v>1912.0</v>
      </c>
      <c r="D147" s="10">
        <v>48.0</v>
      </c>
      <c r="E147" s="11" t="s">
        <v>11</v>
      </c>
      <c r="F147" s="9" t="s">
        <v>16</v>
      </c>
      <c r="G147" s="9" t="s">
        <v>22</v>
      </c>
      <c r="H147" s="15" t="s">
        <v>19</v>
      </c>
      <c r="I147" s="9" t="s">
        <v>40</v>
      </c>
      <c r="J147" s="16"/>
      <c r="K147" s="14" t="s">
        <v>14</v>
      </c>
    </row>
    <row r="148" ht="15.75" customHeight="1">
      <c r="A148" s="9" t="s">
        <v>177</v>
      </c>
      <c r="B148" s="9">
        <v>1893.0</v>
      </c>
      <c r="C148" s="9">
        <v>1980.0</v>
      </c>
      <c r="D148" s="10">
        <v>19.0</v>
      </c>
      <c r="E148" s="17" t="s">
        <v>30</v>
      </c>
      <c r="F148" s="9" t="s">
        <v>44</v>
      </c>
      <c r="G148" s="9" t="s">
        <v>33</v>
      </c>
      <c r="H148" s="9" t="s">
        <v>13</v>
      </c>
      <c r="J148" s="13">
        <v>0.0</v>
      </c>
      <c r="K148" s="14" t="s">
        <v>31</v>
      </c>
    </row>
    <row r="149" ht="15.75" customHeight="1">
      <c r="A149" s="9" t="s">
        <v>178</v>
      </c>
      <c r="B149" s="9">
        <v>1885.0</v>
      </c>
      <c r="C149" s="9">
        <v>1912.0</v>
      </c>
      <c r="D149" s="10">
        <v>27.0</v>
      </c>
      <c r="E149" s="11" t="s">
        <v>11</v>
      </c>
      <c r="F149" s="9" t="s">
        <v>26</v>
      </c>
      <c r="G149" s="9" t="s">
        <v>22</v>
      </c>
      <c r="H149" s="15" t="s">
        <v>19</v>
      </c>
      <c r="I149" s="9" t="s">
        <v>40</v>
      </c>
      <c r="J149" s="16"/>
      <c r="K149" s="14" t="s">
        <v>24</v>
      </c>
    </row>
    <row r="150" ht="15.75" customHeight="1">
      <c r="A150" s="9" t="s">
        <v>179</v>
      </c>
      <c r="B150" s="9">
        <v>1894.0</v>
      </c>
      <c r="C150" s="9">
        <v>1912.0</v>
      </c>
      <c r="D150" s="10">
        <v>18.0</v>
      </c>
      <c r="E150" s="11" t="s">
        <v>11</v>
      </c>
      <c r="F150" s="9" t="s">
        <v>26</v>
      </c>
      <c r="G150" s="9" t="s">
        <v>22</v>
      </c>
      <c r="H150" s="15" t="s">
        <v>19</v>
      </c>
      <c r="I150" s="9" t="s">
        <v>40</v>
      </c>
      <c r="J150" s="16"/>
      <c r="K150" s="14" t="s">
        <v>31</v>
      </c>
    </row>
    <row r="151" ht="15.75" customHeight="1">
      <c r="A151" s="9" t="s">
        <v>180</v>
      </c>
      <c r="B151" s="9">
        <v>1863.0</v>
      </c>
      <c r="C151" s="9">
        <v>1961.0</v>
      </c>
      <c r="D151" s="10">
        <v>49.0</v>
      </c>
      <c r="E151" s="11" t="s">
        <v>11</v>
      </c>
      <c r="F151" s="9" t="s">
        <v>16</v>
      </c>
      <c r="G151" s="9" t="s">
        <v>12</v>
      </c>
      <c r="H151" s="9" t="s">
        <v>13</v>
      </c>
      <c r="I151" s="12"/>
      <c r="J151" s="13">
        <v>0.0</v>
      </c>
      <c r="K151" s="14" t="s">
        <v>14</v>
      </c>
    </row>
    <row r="152" ht="15.75" customHeight="1">
      <c r="A152" s="9" t="s">
        <v>181</v>
      </c>
      <c r="B152" s="9">
        <v>1852.0</v>
      </c>
      <c r="C152" s="9">
        <v>1912.0</v>
      </c>
      <c r="D152" s="10">
        <v>60.0</v>
      </c>
      <c r="E152" s="11" t="s">
        <v>11</v>
      </c>
      <c r="F152" s="9" t="s">
        <v>26</v>
      </c>
      <c r="G152" s="9" t="s">
        <v>22</v>
      </c>
      <c r="H152" s="15" t="s">
        <v>19</v>
      </c>
      <c r="I152" s="9" t="s">
        <v>40</v>
      </c>
      <c r="J152" s="16"/>
      <c r="K152" s="14" t="s">
        <v>20</v>
      </c>
    </row>
    <row r="153" ht="15.75" customHeight="1">
      <c r="A153" s="9" t="s">
        <v>182</v>
      </c>
      <c r="B153" s="9">
        <v>1882.0</v>
      </c>
      <c r="C153" s="9">
        <v>1912.0</v>
      </c>
      <c r="D153" s="10">
        <v>30.0</v>
      </c>
      <c r="E153" s="11" t="s">
        <v>11</v>
      </c>
      <c r="F153" s="9" t="s">
        <v>16</v>
      </c>
      <c r="G153" s="9" t="s">
        <v>33</v>
      </c>
      <c r="H153" s="15" t="s">
        <v>19</v>
      </c>
      <c r="J153" s="16"/>
      <c r="K153" s="14" t="s">
        <v>24</v>
      </c>
    </row>
    <row r="154" ht="15.75" customHeight="1">
      <c r="A154" s="9" t="s">
        <v>183</v>
      </c>
      <c r="B154" s="9">
        <v>1879.0</v>
      </c>
      <c r="C154" s="9">
        <v>1912.0</v>
      </c>
      <c r="D154" s="10">
        <v>33.0</v>
      </c>
      <c r="E154" s="11" t="s">
        <v>11</v>
      </c>
      <c r="F154" s="9" t="s">
        <v>16</v>
      </c>
      <c r="G154" s="9" t="s">
        <v>22</v>
      </c>
      <c r="H154" s="15" t="s">
        <v>19</v>
      </c>
      <c r="I154" s="9" t="s">
        <v>27</v>
      </c>
      <c r="J154" s="16"/>
      <c r="K154" s="14" t="s">
        <v>24</v>
      </c>
    </row>
    <row r="155" ht="15.75" customHeight="1">
      <c r="A155" s="9" t="s">
        <v>184</v>
      </c>
      <c r="B155" s="9">
        <v>1842.0</v>
      </c>
      <c r="C155" s="9">
        <v>1912.0</v>
      </c>
      <c r="D155" s="10">
        <v>70.0</v>
      </c>
      <c r="E155" s="11" t="s">
        <v>11</v>
      </c>
      <c r="F155" s="9" t="s">
        <v>26</v>
      </c>
      <c r="G155" s="9" t="s">
        <v>22</v>
      </c>
      <c r="H155" s="15" t="s">
        <v>19</v>
      </c>
      <c r="I155" s="9" t="s">
        <v>40</v>
      </c>
      <c r="J155" s="16"/>
      <c r="K155" s="14" t="s">
        <v>20</v>
      </c>
    </row>
    <row r="156" ht="15.75" customHeight="1">
      <c r="A156" s="9" t="s">
        <v>185</v>
      </c>
      <c r="B156" s="9">
        <v>1896.0</v>
      </c>
      <c r="C156" s="9">
        <v>1912.0</v>
      </c>
      <c r="D156" s="10">
        <v>16.0</v>
      </c>
      <c r="E156" s="11" t="s">
        <v>11</v>
      </c>
      <c r="F156" s="9" t="s">
        <v>16</v>
      </c>
      <c r="G156" s="9" t="s">
        <v>22</v>
      </c>
      <c r="H156" s="15" t="s">
        <v>19</v>
      </c>
      <c r="I156" s="9" t="s">
        <v>40</v>
      </c>
      <c r="J156" s="16"/>
      <c r="K156" s="14" t="s">
        <v>31</v>
      </c>
    </row>
    <row r="157" ht="15.75" customHeight="1">
      <c r="A157" s="9" t="s">
        <v>186</v>
      </c>
      <c r="B157" s="9">
        <v>1883.0</v>
      </c>
      <c r="C157" s="9">
        <v>1912.0</v>
      </c>
      <c r="D157" s="10">
        <v>29.0</v>
      </c>
      <c r="E157" s="11" t="s">
        <v>11</v>
      </c>
      <c r="F157" s="9" t="s">
        <v>26</v>
      </c>
      <c r="G157" s="9" t="s">
        <v>22</v>
      </c>
      <c r="H157" s="15" t="s">
        <v>19</v>
      </c>
      <c r="I157" s="9" t="s">
        <v>27</v>
      </c>
      <c r="J157" s="16"/>
      <c r="K157" s="14" t="s">
        <v>24</v>
      </c>
    </row>
    <row r="158" ht="15.75" customHeight="1">
      <c r="A158" s="9" t="s">
        <v>187</v>
      </c>
      <c r="B158" s="9">
        <v>1893.0</v>
      </c>
      <c r="C158" s="9">
        <v>1964.0</v>
      </c>
      <c r="D158" s="10">
        <v>19.0</v>
      </c>
      <c r="E158" s="17" t="s">
        <v>30</v>
      </c>
      <c r="F158" s="9" t="s">
        <v>16</v>
      </c>
      <c r="G158" s="9" t="s">
        <v>33</v>
      </c>
      <c r="H158" s="9" t="s">
        <v>13</v>
      </c>
      <c r="I158" s="12"/>
      <c r="J158" s="13">
        <v>0.0</v>
      </c>
      <c r="K158" s="14" t="s">
        <v>31</v>
      </c>
    </row>
    <row r="159" ht="15.75" customHeight="1">
      <c r="A159" s="9" t="s">
        <v>188</v>
      </c>
      <c r="B159" s="9">
        <v>1873.0</v>
      </c>
      <c r="C159" s="9">
        <v>1912.0</v>
      </c>
      <c r="D159" s="10">
        <v>39.0</v>
      </c>
      <c r="E159" s="17" t="s">
        <v>30</v>
      </c>
      <c r="F159" s="9" t="s">
        <v>16</v>
      </c>
      <c r="G159" s="9" t="s">
        <v>33</v>
      </c>
      <c r="H159" s="15" t="s">
        <v>19</v>
      </c>
      <c r="I159" s="12"/>
      <c r="J159" s="13">
        <v>0.0</v>
      </c>
      <c r="K159" s="14" t="s">
        <v>24</v>
      </c>
    </row>
    <row r="160" ht="15.75" customHeight="1">
      <c r="A160" s="9" t="s">
        <v>189</v>
      </c>
      <c r="B160" s="9">
        <v>1849.0</v>
      </c>
      <c r="C160" s="9">
        <v>2006.0</v>
      </c>
      <c r="D160" s="10">
        <v>63.0</v>
      </c>
      <c r="E160" s="17" t="s">
        <v>30</v>
      </c>
      <c r="G160" s="9" t="s">
        <v>33</v>
      </c>
      <c r="H160" s="9" t="s">
        <v>13</v>
      </c>
      <c r="I160" s="12"/>
      <c r="J160" s="13">
        <v>0.0</v>
      </c>
      <c r="K160" s="14" t="s">
        <v>20</v>
      </c>
    </row>
    <row r="161" ht="15.75" customHeight="1">
      <c r="A161" s="9" t="s">
        <v>190</v>
      </c>
      <c r="B161" s="9">
        <v>1862.0</v>
      </c>
      <c r="C161" s="9">
        <v>1912.0</v>
      </c>
      <c r="D161" s="10">
        <v>50.0</v>
      </c>
      <c r="E161" s="11" t="s">
        <v>11</v>
      </c>
      <c r="F161" s="9" t="s">
        <v>26</v>
      </c>
      <c r="G161" s="9" t="s">
        <v>22</v>
      </c>
      <c r="H161" s="15" t="s">
        <v>19</v>
      </c>
      <c r="I161" s="9" t="s">
        <v>35</v>
      </c>
      <c r="J161" s="16"/>
      <c r="K161" s="14" t="s">
        <v>14</v>
      </c>
    </row>
    <row r="162" ht="15.75" customHeight="1">
      <c r="A162" s="9" t="s">
        <v>191</v>
      </c>
      <c r="B162" s="9">
        <v>1881.0</v>
      </c>
      <c r="C162" s="9">
        <v>1912.0</v>
      </c>
      <c r="D162" s="10">
        <v>31.0</v>
      </c>
      <c r="E162" s="11" t="s">
        <v>11</v>
      </c>
      <c r="F162" s="9" t="s">
        <v>16</v>
      </c>
      <c r="G162" s="9" t="s">
        <v>22</v>
      </c>
      <c r="H162" s="15" t="s">
        <v>19</v>
      </c>
      <c r="I162" s="9" t="s">
        <v>40</v>
      </c>
      <c r="J162" s="13">
        <v>0.0</v>
      </c>
      <c r="K162" s="14" t="s">
        <v>24</v>
      </c>
    </row>
    <row r="163" ht="15.75" customHeight="1">
      <c r="A163" s="9" t="s">
        <v>192</v>
      </c>
      <c r="B163" s="9">
        <v>1891.0</v>
      </c>
      <c r="C163" s="9">
        <v>1912.0</v>
      </c>
      <c r="D163" s="10">
        <v>21.0</v>
      </c>
      <c r="E163" s="11" t="s">
        <v>11</v>
      </c>
      <c r="F163" s="9" t="s">
        <v>16</v>
      </c>
      <c r="G163" s="9" t="s">
        <v>22</v>
      </c>
      <c r="H163" s="15" t="s">
        <v>19</v>
      </c>
      <c r="I163" s="9" t="s">
        <v>27</v>
      </c>
      <c r="J163" s="16"/>
      <c r="K163" s="14" t="s">
        <v>24</v>
      </c>
    </row>
    <row r="164" ht="15.75" customHeight="1">
      <c r="A164" s="9" t="s">
        <v>193</v>
      </c>
      <c r="B164" s="9">
        <v>1840.0</v>
      </c>
      <c r="C164" s="9">
        <v>1912.0</v>
      </c>
      <c r="D164" s="10">
        <v>72.0</v>
      </c>
      <c r="E164" s="11" t="s">
        <v>11</v>
      </c>
      <c r="F164" s="9" t="s">
        <v>26</v>
      </c>
      <c r="G164" s="9" t="s">
        <v>22</v>
      </c>
      <c r="H164" s="15" t="s">
        <v>19</v>
      </c>
      <c r="I164" s="9" t="s">
        <v>27</v>
      </c>
      <c r="J164" s="16"/>
      <c r="K164" s="14" t="s">
        <v>20</v>
      </c>
    </row>
    <row r="165" ht="15.75" customHeight="1">
      <c r="A165" s="9" t="s">
        <v>194</v>
      </c>
      <c r="B165" s="9">
        <v>1842.0</v>
      </c>
      <c r="C165" s="9">
        <v>1952.0</v>
      </c>
      <c r="D165" s="10">
        <v>70.0</v>
      </c>
      <c r="E165" s="11" t="s">
        <v>11</v>
      </c>
      <c r="F165" s="9" t="s">
        <v>16</v>
      </c>
      <c r="G165" s="9" t="s">
        <v>12</v>
      </c>
      <c r="H165" s="9" t="s">
        <v>13</v>
      </c>
      <c r="J165" s="13">
        <v>0.0</v>
      </c>
      <c r="K165" s="14" t="s">
        <v>20</v>
      </c>
    </row>
    <row r="166" ht="15.75" customHeight="1">
      <c r="A166" s="9" t="s">
        <v>195</v>
      </c>
      <c r="B166" s="9">
        <v>1898.0</v>
      </c>
      <c r="C166" s="9">
        <v>1912.0</v>
      </c>
      <c r="D166" s="10">
        <v>14.0</v>
      </c>
      <c r="E166" s="11" t="s">
        <v>11</v>
      </c>
      <c r="F166" s="9" t="s">
        <v>16</v>
      </c>
      <c r="G166" s="9" t="s">
        <v>33</v>
      </c>
      <c r="H166" s="15" t="s">
        <v>19</v>
      </c>
      <c r="J166" s="13">
        <v>0.0</v>
      </c>
      <c r="K166" s="14" t="s">
        <v>31</v>
      </c>
    </row>
    <row r="167" ht="15.75" customHeight="1">
      <c r="A167" s="9" t="s">
        <v>196</v>
      </c>
      <c r="B167" s="9">
        <v>1905.0</v>
      </c>
      <c r="C167" s="9">
        <v>1912.0</v>
      </c>
      <c r="D167" s="10">
        <v>7.0</v>
      </c>
      <c r="E167" s="11" t="s">
        <v>11</v>
      </c>
      <c r="F167" s="9" t="s">
        <v>26</v>
      </c>
      <c r="G167" s="9" t="s">
        <v>12</v>
      </c>
      <c r="H167" s="15" t="s">
        <v>19</v>
      </c>
      <c r="I167" s="12"/>
      <c r="J167" s="13">
        <v>0.0</v>
      </c>
      <c r="K167" s="14" t="s">
        <v>31</v>
      </c>
    </row>
    <row r="168" ht="15.75" customHeight="1">
      <c r="A168" s="9" t="s">
        <v>197</v>
      </c>
      <c r="B168" s="9">
        <v>1857.0</v>
      </c>
      <c r="C168" s="9">
        <v>1912.0</v>
      </c>
      <c r="D168" s="10">
        <v>55.0</v>
      </c>
      <c r="E168" s="11" t="s">
        <v>11</v>
      </c>
      <c r="F168" s="9" t="s">
        <v>26</v>
      </c>
      <c r="G168" s="9" t="s">
        <v>33</v>
      </c>
      <c r="H168" s="15" t="s">
        <v>19</v>
      </c>
      <c r="I168" s="12"/>
      <c r="J168" s="16"/>
      <c r="K168" s="14" t="s">
        <v>14</v>
      </c>
    </row>
    <row r="169" ht="15.75" customHeight="1">
      <c r="A169" s="9" t="s">
        <v>198</v>
      </c>
      <c r="B169" s="9">
        <v>1851.0</v>
      </c>
      <c r="C169" s="9">
        <v>1934.0</v>
      </c>
      <c r="D169" s="10">
        <v>61.0</v>
      </c>
      <c r="E169" s="17" t="s">
        <v>30</v>
      </c>
      <c r="F169" s="9" t="s">
        <v>16</v>
      </c>
      <c r="G169" s="9" t="s">
        <v>12</v>
      </c>
      <c r="H169" s="9" t="s">
        <v>13</v>
      </c>
      <c r="I169" s="12"/>
      <c r="J169" s="13">
        <v>0.0</v>
      </c>
      <c r="K169" s="14" t="s">
        <v>20</v>
      </c>
    </row>
    <row r="170" ht="15.75" customHeight="1">
      <c r="A170" s="9" t="s">
        <v>199</v>
      </c>
      <c r="B170" s="9">
        <v>1863.0</v>
      </c>
      <c r="C170" s="9">
        <v>1912.0</v>
      </c>
      <c r="D170" s="10">
        <v>49.0</v>
      </c>
      <c r="E170" s="17" t="s">
        <v>30</v>
      </c>
      <c r="F170" s="9" t="s">
        <v>26</v>
      </c>
      <c r="G170" s="9" t="s">
        <v>33</v>
      </c>
      <c r="H170" s="15" t="s">
        <v>19</v>
      </c>
      <c r="J170" s="16"/>
      <c r="K170" s="14" t="s">
        <v>14</v>
      </c>
    </row>
    <row r="171" ht="15.75" customHeight="1">
      <c r="A171" s="9" t="s">
        <v>200</v>
      </c>
      <c r="B171" s="9">
        <v>1895.0</v>
      </c>
      <c r="C171" s="9">
        <v>1912.0</v>
      </c>
      <c r="D171" s="10">
        <v>17.0</v>
      </c>
      <c r="E171" s="11" t="s">
        <v>11</v>
      </c>
      <c r="F171" s="9" t="s">
        <v>16</v>
      </c>
      <c r="G171" s="9" t="s">
        <v>18</v>
      </c>
      <c r="H171" s="15" t="s">
        <v>19</v>
      </c>
      <c r="J171" s="13">
        <v>0.0</v>
      </c>
      <c r="K171" s="14" t="s">
        <v>31</v>
      </c>
    </row>
    <row r="172" ht="15.75" customHeight="1">
      <c r="A172" s="9" t="s">
        <v>201</v>
      </c>
      <c r="B172" s="9">
        <v>1857.0</v>
      </c>
      <c r="C172" s="9">
        <v>1912.0</v>
      </c>
      <c r="D172" s="10">
        <v>55.0</v>
      </c>
      <c r="E172" s="17" t="s">
        <v>30</v>
      </c>
      <c r="G172" s="9" t="s">
        <v>33</v>
      </c>
      <c r="H172" s="15" t="s">
        <v>19</v>
      </c>
      <c r="I172" s="12"/>
      <c r="J172" s="13">
        <v>0.0</v>
      </c>
      <c r="K172" s="14" t="s">
        <v>14</v>
      </c>
    </row>
    <row r="173" ht="15.75" customHeight="1">
      <c r="A173" s="9" t="s">
        <v>202</v>
      </c>
      <c r="B173" s="9">
        <v>1840.0</v>
      </c>
      <c r="C173" s="9">
        <v>1916.0</v>
      </c>
      <c r="D173" s="10">
        <v>72.0</v>
      </c>
      <c r="E173" s="17" t="s">
        <v>30</v>
      </c>
      <c r="F173" s="9" t="s">
        <v>16</v>
      </c>
      <c r="G173" s="9" t="s">
        <v>12</v>
      </c>
      <c r="H173" s="9" t="s">
        <v>13</v>
      </c>
      <c r="I173" s="12"/>
      <c r="J173" s="13">
        <v>0.0</v>
      </c>
      <c r="K173" s="14" t="s">
        <v>20</v>
      </c>
    </row>
    <row r="174" ht="15.75" customHeight="1">
      <c r="A174" s="9" t="s">
        <v>203</v>
      </c>
      <c r="B174" s="9">
        <v>1908.0</v>
      </c>
      <c r="C174" s="9">
        <v>1912.0</v>
      </c>
      <c r="D174" s="10">
        <v>4.0</v>
      </c>
      <c r="E174" s="11" t="s">
        <v>11</v>
      </c>
      <c r="F174" s="9" t="s">
        <v>26</v>
      </c>
      <c r="G174" s="9" t="s">
        <v>18</v>
      </c>
      <c r="H174" s="15" t="s">
        <v>19</v>
      </c>
      <c r="J174" s="16"/>
      <c r="K174" s="14" t="s">
        <v>31</v>
      </c>
    </row>
    <row r="175" ht="15.75" customHeight="1">
      <c r="A175" s="9" t="s">
        <v>204</v>
      </c>
      <c r="B175" s="9">
        <v>1889.0</v>
      </c>
      <c r="C175" s="9">
        <v>1912.0</v>
      </c>
      <c r="D175" s="10">
        <v>23.0</v>
      </c>
      <c r="E175" s="11" t="s">
        <v>11</v>
      </c>
      <c r="F175" s="9" t="s">
        <v>16</v>
      </c>
      <c r="G175" s="9" t="s">
        <v>12</v>
      </c>
      <c r="H175" s="15" t="s">
        <v>19</v>
      </c>
      <c r="I175" s="12"/>
      <c r="J175" s="13">
        <v>0.0</v>
      </c>
      <c r="K175" s="14" t="s">
        <v>24</v>
      </c>
    </row>
    <row r="176" ht="15.75" customHeight="1">
      <c r="A176" s="9" t="s">
        <v>205</v>
      </c>
      <c r="B176" s="9">
        <v>1885.0</v>
      </c>
      <c r="C176" s="9">
        <v>1917.0</v>
      </c>
      <c r="D176" s="10">
        <v>27.0</v>
      </c>
      <c r="E176" s="11" t="s">
        <v>11</v>
      </c>
      <c r="F176" s="9" t="s">
        <v>26</v>
      </c>
      <c r="G176" s="9" t="s">
        <v>22</v>
      </c>
      <c r="H176" s="9" t="s">
        <v>13</v>
      </c>
      <c r="I176" s="9" t="s">
        <v>23</v>
      </c>
      <c r="J176" s="13">
        <v>0.0</v>
      </c>
      <c r="K176" s="14" t="s">
        <v>24</v>
      </c>
    </row>
    <row r="177" ht="15.75" customHeight="1">
      <c r="A177" s="9" t="s">
        <v>206</v>
      </c>
      <c r="B177" s="9">
        <v>1897.0</v>
      </c>
      <c r="C177" s="9">
        <v>1912.0</v>
      </c>
      <c r="D177" s="10">
        <v>15.0</v>
      </c>
      <c r="E177" s="11" t="s">
        <v>11</v>
      </c>
      <c r="F177" s="9" t="s">
        <v>26</v>
      </c>
      <c r="G177" s="9" t="s">
        <v>33</v>
      </c>
      <c r="H177" s="15" t="s">
        <v>19</v>
      </c>
      <c r="J177" s="13">
        <v>0.0</v>
      </c>
      <c r="K177" s="14" t="s">
        <v>31</v>
      </c>
    </row>
    <row r="178" ht="15.75" customHeight="1">
      <c r="A178" s="9" t="s">
        <v>207</v>
      </c>
      <c r="B178" s="9">
        <v>1908.0</v>
      </c>
      <c r="C178" s="9">
        <v>1912.0</v>
      </c>
      <c r="D178" s="10">
        <v>4.0</v>
      </c>
      <c r="E178" s="11" t="s">
        <v>11</v>
      </c>
      <c r="F178" s="9" t="s">
        <v>26</v>
      </c>
      <c r="G178" s="9" t="s">
        <v>33</v>
      </c>
      <c r="H178" s="15" t="s">
        <v>19</v>
      </c>
      <c r="J178" s="16"/>
      <c r="K178" s="14" t="s">
        <v>31</v>
      </c>
    </row>
    <row r="179" ht="15.75" customHeight="1">
      <c r="A179" s="9" t="s">
        <v>208</v>
      </c>
      <c r="B179" s="9">
        <v>1841.0</v>
      </c>
      <c r="C179" s="9">
        <v>1985.0</v>
      </c>
      <c r="D179" s="10">
        <v>71.0</v>
      </c>
      <c r="E179" s="11" t="s">
        <v>11</v>
      </c>
      <c r="G179" s="9" t="s">
        <v>12</v>
      </c>
      <c r="H179" s="9" t="s">
        <v>13</v>
      </c>
      <c r="I179" s="12"/>
      <c r="J179" s="13">
        <v>0.0</v>
      </c>
      <c r="K179" s="14" t="s">
        <v>20</v>
      </c>
    </row>
    <row r="180" ht="15.75" customHeight="1">
      <c r="A180" s="9" t="s">
        <v>209</v>
      </c>
      <c r="B180" s="9">
        <v>1868.0</v>
      </c>
      <c r="C180" s="9">
        <v>1912.0</v>
      </c>
      <c r="D180" s="10">
        <v>44.0</v>
      </c>
      <c r="E180" s="11" t="s">
        <v>11</v>
      </c>
      <c r="F180" s="9" t="s">
        <v>16</v>
      </c>
      <c r="G180" s="9" t="s">
        <v>22</v>
      </c>
      <c r="H180" s="15" t="s">
        <v>19</v>
      </c>
      <c r="I180" s="9" t="s">
        <v>40</v>
      </c>
      <c r="J180" s="16"/>
      <c r="K180" s="14" t="s">
        <v>14</v>
      </c>
    </row>
    <row r="181" ht="15.75" customHeight="1">
      <c r="A181" s="9" t="s">
        <v>210</v>
      </c>
      <c r="B181" s="9">
        <v>1874.0</v>
      </c>
      <c r="C181" s="9">
        <v>1983.0</v>
      </c>
      <c r="D181" s="10">
        <v>38.0</v>
      </c>
      <c r="E181" s="17" t="s">
        <v>30</v>
      </c>
      <c r="F181" s="9" t="s">
        <v>16</v>
      </c>
      <c r="G181" s="9" t="s">
        <v>18</v>
      </c>
      <c r="H181" s="9" t="s">
        <v>13</v>
      </c>
      <c r="J181" s="13">
        <v>0.0</v>
      </c>
      <c r="K181" s="14" t="s">
        <v>24</v>
      </c>
    </row>
    <row r="182" ht="15.75" customHeight="1">
      <c r="A182" s="9" t="s">
        <v>211</v>
      </c>
      <c r="B182" s="9">
        <v>1896.0</v>
      </c>
      <c r="C182" s="9">
        <v>1912.0</v>
      </c>
      <c r="D182" s="10">
        <v>16.0</v>
      </c>
      <c r="E182" s="11" t="s">
        <v>11</v>
      </c>
      <c r="F182" s="9" t="s">
        <v>26</v>
      </c>
      <c r="G182" s="9" t="s">
        <v>22</v>
      </c>
      <c r="H182" s="15" t="s">
        <v>19</v>
      </c>
      <c r="I182" s="9" t="s">
        <v>27</v>
      </c>
      <c r="J182" s="16"/>
      <c r="K182" s="14" t="s">
        <v>31</v>
      </c>
    </row>
    <row r="183" ht="15.75" customHeight="1">
      <c r="A183" s="9" t="s">
        <v>212</v>
      </c>
      <c r="B183" s="9">
        <v>1874.0</v>
      </c>
      <c r="C183" s="9">
        <v>1912.0</v>
      </c>
      <c r="D183" s="10">
        <v>38.0</v>
      </c>
      <c r="E183" s="11" t="s">
        <v>11</v>
      </c>
      <c r="F183" s="9" t="s">
        <v>26</v>
      </c>
      <c r="G183" s="9" t="s">
        <v>33</v>
      </c>
      <c r="H183" s="15" t="s">
        <v>19</v>
      </c>
      <c r="I183" s="12"/>
      <c r="J183" s="13">
        <v>0.0</v>
      </c>
      <c r="K183" s="14" t="s">
        <v>24</v>
      </c>
    </row>
    <row r="184" ht="15.75" customHeight="1">
      <c r="A184" s="9" t="s">
        <v>213</v>
      </c>
      <c r="B184" s="9">
        <v>1861.0</v>
      </c>
      <c r="C184" s="9">
        <v>1912.0</v>
      </c>
      <c r="D184" s="10">
        <v>51.0</v>
      </c>
      <c r="E184" s="11" t="s">
        <v>11</v>
      </c>
      <c r="F184" s="9" t="s">
        <v>26</v>
      </c>
      <c r="G184" s="9" t="s">
        <v>22</v>
      </c>
      <c r="H184" s="15" t="s">
        <v>19</v>
      </c>
      <c r="I184" s="9" t="s">
        <v>27</v>
      </c>
      <c r="J184" s="16"/>
      <c r="K184" s="14" t="s">
        <v>14</v>
      </c>
    </row>
    <row r="185" ht="15.75" customHeight="1">
      <c r="A185" s="9" t="s">
        <v>214</v>
      </c>
      <c r="B185" s="9">
        <v>1866.0</v>
      </c>
      <c r="C185" s="9">
        <v>1912.0</v>
      </c>
      <c r="D185" s="10">
        <v>46.0</v>
      </c>
      <c r="E185" s="11" t="s">
        <v>11</v>
      </c>
      <c r="F185" s="9" t="s">
        <v>16</v>
      </c>
      <c r="G185" s="9" t="s">
        <v>22</v>
      </c>
      <c r="H185" s="15" t="s">
        <v>19</v>
      </c>
      <c r="I185" s="9" t="s">
        <v>27</v>
      </c>
      <c r="J185" s="13">
        <v>0.0</v>
      </c>
      <c r="K185" s="14" t="s">
        <v>14</v>
      </c>
    </row>
    <row r="186" ht="15.75" customHeight="1">
      <c r="A186" s="9" t="s">
        <v>215</v>
      </c>
      <c r="B186" s="9">
        <v>1862.0</v>
      </c>
      <c r="C186" s="9">
        <v>1912.0</v>
      </c>
      <c r="D186" s="10">
        <v>50.0</v>
      </c>
      <c r="E186" s="11" t="s">
        <v>11</v>
      </c>
      <c r="F186" s="9" t="s">
        <v>16</v>
      </c>
      <c r="G186" s="9" t="s">
        <v>12</v>
      </c>
      <c r="H186" s="15" t="s">
        <v>19</v>
      </c>
      <c r="I186" s="12"/>
      <c r="J186" s="13">
        <v>0.0</v>
      </c>
      <c r="K186" s="14" t="s">
        <v>14</v>
      </c>
    </row>
    <row r="187" ht="15.75" customHeight="1">
      <c r="A187" s="9" t="s">
        <v>216</v>
      </c>
      <c r="B187" s="9">
        <v>1870.0</v>
      </c>
      <c r="C187" s="9">
        <v>1912.0</v>
      </c>
      <c r="D187" s="10">
        <v>42.0</v>
      </c>
      <c r="E187" s="11" t="s">
        <v>11</v>
      </c>
      <c r="F187" s="9" t="s">
        <v>16</v>
      </c>
      <c r="G187" s="9" t="s">
        <v>33</v>
      </c>
      <c r="H187" s="15" t="s">
        <v>19</v>
      </c>
      <c r="I187" s="12"/>
      <c r="J187" s="16"/>
      <c r="K187" s="14" t="s">
        <v>14</v>
      </c>
    </row>
    <row r="188" ht="15.75" customHeight="1">
      <c r="A188" s="9" t="s">
        <v>217</v>
      </c>
      <c r="B188" s="9">
        <v>1881.0</v>
      </c>
      <c r="C188" s="9">
        <v>1912.0</v>
      </c>
      <c r="D188" s="10">
        <v>31.0</v>
      </c>
      <c r="E188" s="11" t="s">
        <v>11</v>
      </c>
      <c r="F188" s="9" t="s">
        <v>26</v>
      </c>
      <c r="G188" s="9" t="s">
        <v>22</v>
      </c>
      <c r="H188" s="15" t="s">
        <v>19</v>
      </c>
      <c r="I188" s="9" t="s">
        <v>35</v>
      </c>
      <c r="J188" s="13">
        <v>0.0</v>
      </c>
      <c r="K188" s="14" t="s">
        <v>24</v>
      </c>
    </row>
    <row r="189" ht="15.75" customHeight="1">
      <c r="A189" s="9" t="s">
        <v>218</v>
      </c>
      <c r="B189" s="9">
        <v>1879.0</v>
      </c>
      <c r="C189" s="9">
        <v>1966.0</v>
      </c>
      <c r="D189" s="10">
        <v>33.0</v>
      </c>
      <c r="E189" s="11" t="s">
        <v>11</v>
      </c>
      <c r="F189" s="9" t="s">
        <v>16</v>
      </c>
      <c r="G189" s="9" t="s">
        <v>12</v>
      </c>
      <c r="H189" s="9" t="s">
        <v>13</v>
      </c>
      <c r="I189" s="12"/>
      <c r="J189" s="13">
        <v>0.0</v>
      </c>
      <c r="K189" s="14" t="s">
        <v>24</v>
      </c>
    </row>
    <row r="190" ht="15.75" customHeight="1">
      <c r="A190" s="9" t="s">
        <v>219</v>
      </c>
      <c r="B190" s="9">
        <v>1863.0</v>
      </c>
      <c r="C190" s="9">
        <v>1912.0</v>
      </c>
      <c r="D190" s="10">
        <v>49.0</v>
      </c>
      <c r="E190" s="11" t="s">
        <v>11</v>
      </c>
      <c r="F190" s="9" t="s">
        <v>16</v>
      </c>
      <c r="G190" s="9" t="s">
        <v>22</v>
      </c>
      <c r="H190" s="15" t="s">
        <v>19</v>
      </c>
      <c r="I190" s="9" t="s">
        <v>27</v>
      </c>
      <c r="J190" s="16"/>
      <c r="K190" s="14" t="s">
        <v>14</v>
      </c>
    </row>
    <row r="191" ht="15.75" customHeight="1">
      <c r="A191" s="9" t="s">
        <v>220</v>
      </c>
      <c r="B191" s="9">
        <v>1875.0</v>
      </c>
      <c r="C191" s="9">
        <v>1912.0</v>
      </c>
      <c r="D191" s="10">
        <v>37.0</v>
      </c>
      <c r="E191" s="17" t="s">
        <v>30</v>
      </c>
      <c r="G191" s="9" t="s">
        <v>33</v>
      </c>
      <c r="H191" s="15" t="s">
        <v>19</v>
      </c>
      <c r="I191" s="12"/>
      <c r="J191" s="16"/>
      <c r="K191" s="14" t="s">
        <v>24</v>
      </c>
    </row>
    <row r="192" ht="15.75" customHeight="1">
      <c r="A192" s="9" t="s">
        <v>221</v>
      </c>
      <c r="B192" s="9">
        <v>1846.0</v>
      </c>
      <c r="C192" s="9">
        <v>1912.0</v>
      </c>
      <c r="D192" s="10">
        <v>66.0</v>
      </c>
      <c r="E192" s="11" t="s">
        <v>11</v>
      </c>
      <c r="F192" s="9" t="s">
        <v>16</v>
      </c>
      <c r="G192" s="9" t="s">
        <v>22</v>
      </c>
      <c r="H192" s="15" t="s">
        <v>19</v>
      </c>
      <c r="I192" s="9" t="s">
        <v>27</v>
      </c>
      <c r="J192" s="13">
        <v>0.0</v>
      </c>
      <c r="K192" s="14" t="s">
        <v>20</v>
      </c>
    </row>
    <row r="193" ht="15.75" customHeight="1">
      <c r="A193" s="9" t="s">
        <v>222</v>
      </c>
      <c r="B193" s="9">
        <v>1840.0</v>
      </c>
      <c r="C193" s="9">
        <v>1912.0</v>
      </c>
      <c r="D193" s="10">
        <v>72.0</v>
      </c>
      <c r="E193" s="11" t="s">
        <v>11</v>
      </c>
      <c r="F193" s="9" t="s">
        <v>26</v>
      </c>
      <c r="G193" s="9" t="s">
        <v>33</v>
      </c>
      <c r="H193" s="15" t="s">
        <v>19</v>
      </c>
      <c r="I193" s="12"/>
      <c r="J193" s="13">
        <v>0.0</v>
      </c>
      <c r="K193" s="14" t="s">
        <v>20</v>
      </c>
    </row>
    <row r="194" ht="15.75" customHeight="1">
      <c r="A194" s="9" t="s">
        <v>223</v>
      </c>
      <c r="B194" s="9">
        <v>1868.0</v>
      </c>
      <c r="C194" s="9">
        <v>1912.0</v>
      </c>
      <c r="D194" s="10">
        <v>44.0</v>
      </c>
      <c r="E194" s="11" t="s">
        <v>11</v>
      </c>
      <c r="F194" s="9" t="s">
        <v>26</v>
      </c>
      <c r="G194" s="9" t="s">
        <v>22</v>
      </c>
      <c r="H194" s="15" t="s">
        <v>19</v>
      </c>
      <c r="I194" s="9" t="s">
        <v>27</v>
      </c>
      <c r="J194" s="13">
        <v>0.0</v>
      </c>
      <c r="K194" s="14" t="s">
        <v>14</v>
      </c>
    </row>
    <row r="195" ht="15.75" customHeight="1">
      <c r="A195" s="9" t="s">
        <v>224</v>
      </c>
      <c r="B195" s="9">
        <v>1869.0</v>
      </c>
      <c r="C195" s="9">
        <v>1912.0</v>
      </c>
      <c r="D195" s="10">
        <v>43.0</v>
      </c>
      <c r="E195" s="11" t="s">
        <v>11</v>
      </c>
      <c r="F195" s="9" t="s">
        <v>26</v>
      </c>
      <c r="G195" s="9" t="s">
        <v>22</v>
      </c>
      <c r="H195" s="15" t="s">
        <v>19</v>
      </c>
      <c r="I195" s="9" t="s">
        <v>40</v>
      </c>
      <c r="J195" s="16"/>
      <c r="K195" s="14" t="s">
        <v>14</v>
      </c>
    </row>
    <row r="196" ht="15.75" customHeight="1">
      <c r="A196" s="9" t="s">
        <v>225</v>
      </c>
      <c r="B196" s="9">
        <v>1870.0</v>
      </c>
      <c r="C196" s="9">
        <v>1912.0</v>
      </c>
      <c r="D196" s="10">
        <v>42.0</v>
      </c>
      <c r="E196" s="11" t="s">
        <v>11</v>
      </c>
      <c r="G196" s="9" t="s">
        <v>33</v>
      </c>
      <c r="H196" s="15" t="s">
        <v>19</v>
      </c>
      <c r="J196" s="16"/>
      <c r="K196" s="14" t="s">
        <v>14</v>
      </c>
    </row>
    <row r="197" ht="15.75" customHeight="1">
      <c r="A197" s="9" t="s">
        <v>226</v>
      </c>
      <c r="B197" s="9">
        <v>1874.0</v>
      </c>
      <c r="C197" s="9">
        <v>1912.0</v>
      </c>
      <c r="D197" s="10">
        <v>38.0</v>
      </c>
      <c r="E197" s="11" t="s">
        <v>11</v>
      </c>
      <c r="F197" s="9" t="s">
        <v>26</v>
      </c>
      <c r="G197" s="9" t="s">
        <v>22</v>
      </c>
      <c r="H197" s="15" t="s">
        <v>19</v>
      </c>
      <c r="I197" s="9" t="s">
        <v>23</v>
      </c>
      <c r="J197" s="16"/>
      <c r="K197" s="14" t="s">
        <v>24</v>
      </c>
    </row>
    <row r="198" ht="15.75" customHeight="1">
      <c r="A198" s="9" t="s">
        <v>227</v>
      </c>
      <c r="B198" s="9">
        <v>1890.0</v>
      </c>
      <c r="C198" s="9">
        <v>1912.0</v>
      </c>
      <c r="D198" s="10">
        <v>22.0</v>
      </c>
      <c r="E198" s="11" t="s">
        <v>11</v>
      </c>
      <c r="F198" s="9" t="s">
        <v>16</v>
      </c>
      <c r="G198" s="9" t="s">
        <v>22</v>
      </c>
      <c r="H198" s="15" t="s">
        <v>19</v>
      </c>
      <c r="I198" s="9" t="s">
        <v>27</v>
      </c>
      <c r="J198" s="13">
        <v>0.0</v>
      </c>
      <c r="K198" s="14" t="s">
        <v>24</v>
      </c>
    </row>
    <row r="199" ht="15.75" customHeight="1">
      <c r="A199" s="9" t="s">
        <v>228</v>
      </c>
      <c r="B199" s="9">
        <v>1903.0</v>
      </c>
      <c r="C199" s="9">
        <v>1912.0</v>
      </c>
      <c r="D199" s="10">
        <v>9.0</v>
      </c>
      <c r="E199" s="11" t="s">
        <v>11</v>
      </c>
      <c r="F199" s="9" t="s">
        <v>16</v>
      </c>
      <c r="G199" s="9" t="s">
        <v>33</v>
      </c>
      <c r="H199" s="15" t="s">
        <v>19</v>
      </c>
      <c r="I199" s="12"/>
      <c r="J199" s="16"/>
      <c r="K199" s="14" t="s">
        <v>31</v>
      </c>
    </row>
    <row r="200" ht="15.75" customHeight="1">
      <c r="A200" s="9" t="s">
        <v>229</v>
      </c>
      <c r="B200" s="9">
        <v>1853.0</v>
      </c>
      <c r="C200" s="9">
        <v>1967.0</v>
      </c>
      <c r="D200" s="10">
        <v>59.0</v>
      </c>
      <c r="E200" s="17" t="s">
        <v>30</v>
      </c>
      <c r="F200" s="9" t="s">
        <v>47</v>
      </c>
      <c r="G200" s="9" t="s">
        <v>18</v>
      </c>
      <c r="H200" s="9" t="s">
        <v>13</v>
      </c>
      <c r="J200" s="13">
        <v>0.0</v>
      </c>
      <c r="K200" s="14" t="s">
        <v>14</v>
      </c>
    </row>
    <row r="201" ht="15.75" customHeight="1">
      <c r="A201" s="9" t="s">
        <v>230</v>
      </c>
      <c r="B201" s="9">
        <v>1882.0</v>
      </c>
      <c r="C201" s="9">
        <v>1912.0</v>
      </c>
      <c r="D201" s="10">
        <v>30.0</v>
      </c>
      <c r="E201" s="11" t="s">
        <v>11</v>
      </c>
      <c r="G201" s="9" t="s">
        <v>33</v>
      </c>
      <c r="H201" s="15" t="s">
        <v>19</v>
      </c>
      <c r="I201" s="12"/>
      <c r="J201" s="16"/>
      <c r="K201" s="14" t="s">
        <v>24</v>
      </c>
    </row>
    <row r="202" ht="15.75" customHeight="1">
      <c r="A202" s="9" t="s">
        <v>231</v>
      </c>
      <c r="B202" s="9">
        <v>1904.0</v>
      </c>
      <c r="C202" s="9">
        <v>1912.0</v>
      </c>
      <c r="D202" s="10">
        <v>8.0</v>
      </c>
      <c r="E202" s="11" t="s">
        <v>11</v>
      </c>
      <c r="F202" s="9" t="s">
        <v>26</v>
      </c>
      <c r="G202" s="9" t="s">
        <v>18</v>
      </c>
      <c r="H202" s="15" t="s">
        <v>19</v>
      </c>
      <c r="I202" s="12"/>
      <c r="J202" s="16"/>
      <c r="K202" s="14" t="s">
        <v>31</v>
      </c>
    </row>
    <row r="203" ht="15.75" customHeight="1">
      <c r="A203" s="9" t="s">
        <v>232</v>
      </c>
      <c r="B203" s="9">
        <v>1873.0</v>
      </c>
      <c r="C203" s="9">
        <v>1912.0</v>
      </c>
      <c r="D203" s="10">
        <v>39.0</v>
      </c>
      <c r="E203" s="11" t="s">
        <v>11</v>
      </c>
      <c r="F203" s="9" t="s">
        <v>26</v>
      </c>
      <c r="G203" s="9" t="s">
        <v>33</v>
      </c>
      <c r="H203" s="15" t="s">
        <v>19</v>
      </c>
      <c r="J203" s="13">
        <v>0.0</v>
      </c>
      <c r="K203" s="14" t="s">
        <v>24</v>
      </c>
    </row>
    <row r="204" ht="15.75" customHeight="1">
      <c r="A204" s="9" t="s">
        <v>233</v>
      </c>
      <c r="B204" s="9">
        <v>1910.0</v>
      </c>
      <c r="C204" s="9">
        <v>1912.0</v>
      </c>
      <c r="D204" s="10">
        <v>2.0</v>
      </c>
      <c r="E204" s="11" t="s">
        <v>11</v>
      </c>
      <c r="G204" s="9" t="s">
        <v>33</v>
      </c>
      <c r="H204" s="15" t="s">
        <v>19</v>
      </c>
      <c r="J204" s="13">
        <v>0.0</v>
      </c>
      <c r="K204" s="14" t="s">
        <v>31</v>
      </c>
    </row>
    <row r="205" ht="15.75" customHeight="1">
      <c r="A205" s="9" t="s">
        <v>234</v>
      </c>
      <c r="B205" s="9">
        <v>1855.0</v>
      </c>
      <c r="C205" s="9">
        <v>1912.0</v>
      </c>
      <c r="D205" s="10">
        <v>57.0</v>
      </c>
      <c r="E205" s="11" t="s">
        <v>11</v>
      </c>
      <c r="F205" s="9" t="s">
        <v>26</v>
      </c>
      <c r="G205" s="9" t="s">
        <v>12</v>
      </c>
      <c r="H205" s="15" t="s">
        <v>19</v>
      </c>
      <c r="I205" s="12"/>
      <c r="J205" s="13">
        <v>0.0</v>
      </c>
      <c r="K205" s="14" t="s">
        <v>14</v>
      </c>
    </row>
    <row r="206" ht="15.75" customHeight="1">
      <c r="A206" s="9" t="s">
        <v>235</v>
      </c>
      <c r="B206" s="9">
        <v>1869.0</v>
      </c>
      <c r="C206" s="9">
        <v>1912.0</v>
      </c>
      <c r="D206" s="10">
        <v>43.0</v>
      </c>
      <c r="E206" s="11" t="s">
        <v>11</v>
      </c>
      <c r="F206" s="9" t="s">
        <v>16</v>
      </c>
      <c r="G206" s="9" t="s">
        <v>12</v>
      </c>
      <c r="H206" s="15" t="s">
        <v>19</v>
      </c>
      <c r="I206" s="12"/>
      <c r="J206" s="13">
        <v>0.0</v>
      </c>
      <c r="K206" s="14" t="s">
        <v>14</v>
      </c>
    </row>
    <row r="207" ht="15.75" customHeight="1">
      <c r="A207" s="9" t="s">
        <v>236</v>
      </c>
      <c r="B207" s="9">
        <v>1895.0</v>
      </c>
      <c r="C207" s="9">
        <v>1949.0</v>
      </c>
      <c r="D207" s="10">
        <v>17.0</v>
      </c>
      <c r="E207" s="17" t="s">
        <v>30</v>
      </c>
      <c r="F207" s="9" t="s">
        <v>16</v>
      </c>
      <c r="G207" s="9" t="s">
        <v>12</v>
      </c>
      <c r="H207" s="9" t="s">
        <v>13</v>
      </c>
      <c r="I207" s="12"/>
      <c r="J207" s="13">
        <v>0.0</v>
      </c>
      <c r="K207" s="14" t="s">
        <v>31</v>
      </c>
    </row>
    <row r="208" ht="15.75" customHeight="1">
      <c r="A208" s="9" t="s">
        <v>237</v>
      </c>
      <c r="B208" s="9">
        <v>1875.0</v>
      </c>
      <c r="C208" s="9">
        <v>1912.0</v>
      </c>
      <c r="D208" s="10">
        <v>37.0</v>
      </c>
      <c r="E208" s="11" t="s">
        <v>11</v>
      </c>
      <c r="F208" s="9" t="s">
        <v>26</v>
      </c>
      <c r="G208" s="9" t="s">
        <v>22</v>
      </c>
      <c r="H208" s="15" t="s">
        <v>19</v>
      </c>
      <c r="I208" s="9" t="s">
        <v>27</v>
      </c>
      <c r="J208" s="16"/>
      <c r="K208" s="14" t="s">
        <v>24</v>
      </c>
    </row>
    <row r="209" ht="15.75" customHeight="1">
      <c r="A209" s="9" t="s">
        <v>238</v>
      </c>
      <c r="B209" s="9">
        <v>1841.0</v>
      </c>
      <c r="C209" s="9">
        <v>1912.0</v>
      </c>
      <c r="D209" s="10">
        <v>71.0</v>
      </c>
      <c r="E209" s="11" t="s">
        <v>11</v>
      </c>
      <c r="F209" s="9" t="s">
        <v>16</v>
      </c>
      <c r="G209" s="9" t="s">
        <v>22</v>
      </c>
      <c r="H209" s="15" t="s">
        <v>19</v>
      </c>
      <c r="I209" s="9" t="s">
        <v>27</v>
      </c>
      <c r="J209" s="13">
        <v>0.0</v>
      </c>
      <c r="K209" s="14" t="s">
        <v>20</v>
      </c>
    </row>
    <row r="210" ht="15.75" customHeight="1">
      <c r="A210" s="9" t="s">
        <v>239</v>
      </c>
      <c r="B210" s="9">
        <v>1859.0</v>
      </c>
      <c r="C210" s="9">
        <v>1912.0</v>
      </c>
      <c r="D210" s="10">
        <v>53.0</v>
      </c>
      <c r="E210" s="11" t="s">
        <v>11</v>
      </c>
      <c r="F210" s="9" t="s">
        <v>16</v>
      </c>
      <c r="G210" s="9" t="s">
        <v>22</v>
      </c>
      <c r="H210" s="15" t="s">
        <v>19</v>
      </c>
      <c r="I210" s="9" t="s">
        <v>27</v>
      </c>
      <c r="J210" s="16"/>
      <c r="K210" s="14" t="s">
        <v>14</v>
      </c>
    </row>
    <row r="211" ht="15.75" customHeight="1">
      <c r="A211" s="9" t="s">
        <v>240</v>
      </c>
      <c r="B211" s="9">
        <v>1898.0</v>
      </c>
      <c r="C211" s="9">
        <v>1912.0</v>
      </c>
      <c r="D211" s="10">
        <v>14.0</v>
      </c>
      <c r="E211" s="11" t="s">
        <v>11</v>
      </c>
      <c r="G211" s="9" t="s">
        <v>33</v>
      </c>
      <c r="H211" s="15" t="s">
        <v>19</v>
      </c>
      <c r="I211" s="12"/>
      <c r="J211" s="16"/>
      <c r="K211" s="14" t="s">
        <v>31</v>
      </c>
    </row>
    <row r="212" ht="15.75" customHeight="1">
      <c r="A212" s="9" t="s">
        <v>241</v>
      </c>
      <c r="B212" s="9">
        <v>1884.0</v>
      </c>
      <c r="C212" s="9">
        <v>1912.0</v>
      </c>
      <c r="D212" s="10">
        <v>28.0</v>
      </c>
      <c r="E212" s="11" t="s">
        <v>11</v>
      </c>
      <c r="F212" s="9" t="s">
        <v>16</v>
      </c>
      <c r="G212" s="9" t="s">
        <v>22</v>
      </c>
      <c r="H212" s="15" t="s">
        <v>19</v>
      </c>
      <c r="I212" s="9" t="s">
        <v>40</v>
      </c>
      <c r="J212" s="16"/>
      <c r="K212" s="14" t="s">
        <v>24</v>
      </c>
    </row>
    <row r="213" ht="15.75" customHeight="1">
      <c r="A213" s="9" t="s">
        <v>242</v>
      </c>
      <c r="B213" s="9">
        <v>1856.0</v>
      </c>
      <c r="C213" s="9">
        <v>1926.0</v>
      </c>
      <c r="D213" s="10">
        <v>56.0</v>
      </c>
      <c r="E213" s="11" t="s">
        <v>11</v>
      </c>
      <c r="F213" s="9" t="s">
        <v>26</v>
      </c>
      <c r="G213" s="9" t="s">
        <v>22</v>
      </c>
      <c r="H213" s="9" t="s">
        <v>13</v>
      </c>
      <c r="I213" s="9" t="s">
        <v>27</v>
      </c>
      <c r="J213" s="13">
        <v>0.0</v>
      </c>
      <c r="K213" s="14" t="s">
        <v>14</v>
      </c>
    </row>
    <row r="214" ht="15.75" customHeight="1">
      <c r="A214" s="9" t="s">
        <v>243</v>
      </c>
      <c r="B214" s="9">
        <v>1888.0</v>
      </c>
      <c r="C214" s="9">
        <v>1912.0</v>
      </c>
      <c r="D214" s="10">
        <v>24.0</v>
      </c>
      <c r="E214" s="11" t="s">
        <v>11</v>
      </c>
      <c r="F214" s="9" t="s">
        <v>26</v>
      </c>
      <c r="G214" s="9" t="s">
        <v>18</v>
      </c>
      <c r="H214" s="15" t="s">
        <v>19</v>
      </c>
      <c r="I214" s="12"/>
      <c r="J214" s="16"/>
      <c r="K214" s="14" t="s">
        <v>24</v>
      </c>
    </row>
    <row r="215" ht="15.75" customHeight="1">
      <c r="A215" s="9" t="s">
        <v>244</v>
      </c>
      <c r="B215" s="9">
        <v>1896.0</v>
      </c>
      <c r="C215" s="9">
        <v>1972.0</v>
      </c>
      <c r="D215" s="10">
        <v>16.0</v>
      </c>
      <c r="E215" s="17" t="s">
        <v>30</v>
      </c>
      <c r="F215" s="9" t="s">
        <v>16</v>
      </c>
      <c r="G215" s="9" t="s">
        <v>18</v>
      </c>
      <c r="H215" s="9" t="s">
        <v>13</v>
      </c>
      <c r="I215" s="12"/>
      <c r="J215" s="16"/>
      <c r="K215" s="14" t="s">
        <v>31</v>
      </c>
    </row>
    <row r="216" ht="15.75" customHeight="1">
      <c r="A216" s="9" t="s">
        <v>245</v>
      </c>
      <c r="B216" s="9">
        <v>1857.0</v>
      </c>
      <c r="C216" s="9">
        <v>1912.0</v>
      </c>
      <c r="D216" s="10">
        <v>55.0</v>
      </c>
      <c r="E216" s="11" t="s">
        <v>11</v>
      </c>
      <c r="G216" s="9" t="s">
        <v>18</v>
      </c>
      <c r="H216" s="15" t="s">
        <v>19</v>
      </c>
      <c r="I216" s="12"/>
      <c r="J216" s="16"/>
      <c r="K216" s="14" t="s">
        <v>14</v>
      </c>
    </row>
    <row r="217" ht="15.75" customHeight="1">
      <c r="A217" s="9" t="s">
        <v>246</v>
      </c>
      <c r="B217" s="9">
        <v>1908.0</v>
      </c>
      <c r="C217" s="9">
        <v>1912.0</v>
      </c>
      <c r="D217" s="10">
        <v>4.0</v>
      </c>
      <c r="E217" s="11" t="s">
        <v>11</v>
      </c>
      <c r="G217" s="9" t="s">
        <v>33</v>
      </c>
      <c r="H217" s="15" t="s">
        <v>19</v>
      </c>
      <c r="I217" s="12"/>
      <c r="J217" s="13">
        <v>0.0</v>
      </c>
      <c r="K217" s="14" t="s">
        <v>31</v>
      </c>
    </row>
    <row r="218" ht="15.75" customHeight="1">
      <c r="A218" s="9" t="s">
        <v>247</v>
      </c>
      <c r="B218" s="9">
        <v>1840.0</v>
      </c>
      <c r="C218" s="9">
        <v>1912.0</v>
      </c>
      <c r="D218" s="10">
        <v>72.0</v>
      </c>
      <c r="E218" s="11" t="s">
        <v>11</v>
      </c>
      <c r="F218" s="9" t="s">
        <v>16</v>
      </c>
      <c r="G218" s="9" t="s">
        <v>22</v>
      </c>
      <c r="H218" s="15" t="s">
        <v>19</v>
      </c>
      <c r="I218" s="9" t="s">
        <v>27</v>
      </c>
      <c r="J218" s="16"/>
      <c r="K218" s="14" t="s">
        <v>20</v>
      </c>
    </row>
    <row r="219" ht="15.75" customHeight="1">
      <c r="A219" s="9" t="s">
        <v>248</v>
      </c>
      <c r="B219" s="9">
        <v>1890.0</v>
      </c>
      <c r="C219" s="9">
        <v>1912.0</v>
      </c>
      <c r="D219" s="10">
        <v>22.0</v>
      </c>
      <c r="E219" s="11" t="s">
        <v>11</v>
      </c>
      <c r="F219" s="9" t="s">
        <v>26</v>
      </c>
      <c r="G219" s="9" t="s">
        <v>18</v>
      </c>
      <c r="H219" s="15" t="s">
        <v>19</v>
      </c>
      <c r="J219" s="13">
        <v>0.0</v>
      </c>
      <c r="K219" s="14" t="s">
        <v>24</v>
      </c>
    </row>
    <row r="220" ht="15.75" customHeight="1">
      <c r="A220" s="9" t="s">
        <v>249</v>
      </c>
      <c r="B220" s="9">
        <v>1874.0</v>
      </c>
      <c r="C220" s="9">
        <v>1912.0</v>
      </c>
      <c r="D220" s="10">
        <v>38.0</v>
      </c>
      <c r="E220" s="11" t="s">
        <v>11</v>
      </c>
      <c r="F220" s="9" t="s">
        <v>16</v>
      </c>
      <c r="G220" s="9" t="s">
        <v>22</v>
      </c>
      <c r="H220" s="15" t="s">
        <v>19</v>
      </c>
      <c r="I220" s="9" t="s">
        <v>27</v>
      </c>
      <c r="J220" s="16"/>
      <c r="K220" s="14" t="s">
        <v>24</v>
      </c>
    </row>
    <row r="221" ht="15.75" customHeight="1">
      <c r="A221" s="9" t="s">
        <v>250</v>
      </c>
      <c r="B221" s="9">
        <v>1859.0</v>
      </c>
      <c r="C221" s="9">
        <v>1912.0</v>
      </c>
      <c r="D221" s="10">
        <v>53.0</v>
      </c>
      <c r="E221" s="11" t="s">
        <v>11</v>
      </c>
      <c r="F221" s="9" t="s">
        <v>26</v>
      </c>
      <c r="G221" s="9" t="s">
        <v>12</v>
      </c>
      <c r="H221" s="15" t="s">
        <v>19</v>
      </c>
      <c r="I221" s="12"/>
      <c r="J221" s="13">
        <v>0.0</v>
      </c>
      <c r="K221" s="14" t="s">
        <v>14</v>
      </c>
    </row>
    <row r="222" ht="15.75" customHeight="1">
      <c r="A222" s="9" t="s">
        <v>251</v>
      </c>
      <c r="B222" s="9">
        <v>1891.0</v>
      </c>
      <c r="C222" s="9">
        <v>1943.0</v>
      </c>
      <c r="D222" s="10">
        <v>21.0</v>
      </c>
      <c r="E222" s="11" t="s">
        <v>11</v>
      </c>
      <c r="F222" s="9" t="s">
        <v>16</v>
      </c>
      <c r="G222" s="9" t="s">
        <v>22</v>
      </c>
      <c r="H222" s="9" t="s">
        <v>13</v>
      </c>
      <c r="I222" s="9" t="s">
        <v>23</v>
      </c>
      <c r="J222" s="13">
        <v>0.0</v>
      </c>
      <c r="K222" s="14" t="s">
        <v>24</v>
      </c>
    </row>
    <row r="223" ht="15.75" customHeight="1">
      <c r="A223" s="9" t="s">
        <v>252</v>
      </c>
      <c r="B223" s="9">
        <v>1877.0</v>
      </c>
      <c r="C223" s="9">
        <v>1931.0</v>
      </c>
      <c r="D223" s="10">
        <v>35.0</v>
      </c>
      <c r="E223" s="17" t="s">
        <v>30</v>
      </c>
      <c r="F223" s="9" t="s">
        <v>16</v>
      </c>
      <c r="G223" s="9" t="s">
        <v>12</v>
      </c>
      <c r="H223" s="9" t="s">
        <v>13</v>
      </c>
      <c r="I223" s="12"/>
      <c r="J223" s="13">
        <v>0.0</v>
      </c>
      <c r="K223" s="14" t="s">
        <v>24</v>
      </c>
    </row>
    <row r="224" ht="15.75" customHeight="1">
      <c r="A224" s="9" t="s">
        <v>253</v>
      </c>
      <c r="B224" s="9">
        <v>1868.0</v>
      </c>
      <c r="C224" s="9">
        <v>1912.0</v>
      </c>
      <c r="D224" s="10">
        <v>44.0</v>
      </c>
      <c r="E224" s="17" t="s">
        <v>30</v>
      </c>
      <c r="F224" s="9" t="s">
        <v>26</v>
      </c>
      <c r="G224" s="9" t="s">
        <v>33</v>
      </c>
      <c r="H224" s="15" t="s">
        <v>19</v>
      </c>
      <c r="I224" s="12"/>
      <c r="J224" s="16"/>
      <c r="K224" s="14" t="s">
        <v>14</v>
      </c>
    </row>
    <row r="225" ht="15.75" customHeight="1">
      <c r="A225" s="9" t="s">
        <v>254</v>
      </c>
      <c r="B225" s="9">
        <v>1904.0</v>
      </c>
      <c r="C225" s="9">
        <v>1925.0</v>
      </c>
      <c r="D225" s="10">
        <v>8.0</v>
      </c>
      <c r="E225" s="17" t="s">
        <v>30</v>
      </c>
      <c r="F225" s="9" t="s">
        <v>16</v>
      </c>
      <c r="G225" s="9" t="s">
        <v>18</v>
      </c>
      <c r="H225" s="9" t="s">
        <v>13</v>
      </c>
      <c r="J225" s="13">
        <v>0.0</v>
      </c>
      <c r="K225" s="14" t="s">
        <v>31</v>
      </c>
    </row>
    <row r="226" ht="15.75" customHeight="1">
      <c r="A226" s="9" t="s">
        <v>255</v>
      </c>
      <c r="B226" s="9">
        <v>1870.0</v>
      </c>
      <c r="C226" s="9">
        <v>1918.0</v>
      </c>
      <c r="D226" s="10">
        <v>42.0</v>
      </c>
      <c r="E226" s="11" t="s">
        <v>11</v>
      </c>
      <c r="F226" s="9" t="s">
        <v>26</v>
      </c>
      <c r="G226" s="9" t="s">
        <v>33</v>
      </c>
      <c r="H226" s="9" t="s">
        <v>13</v>
      </c>
      <c r="I226" s="12"/>
      <c r="J226" s="13">
        <v>0.0</v>
      </c>
      <c r="K226" s="14" t="s">
        <v>14</v>
      </c>
    </row>
    <row r="227" ht="15.75" customHeight="1">
      <c r="A227" s="9" t="s">
        <v>256</v>
      </c>
      <c r="B227" s="9">
        <v>1843.0</v>
      </c>
      <c r="C227" s="9">
        <v>1912.0</v>
      </c>
      <c r="D227" s="10">
        <v>69.0</v>
      </c>
      <c r="E227" s="11" t="s">
        <v>11</v>
      </c>
      <c r="F227" s="9" t="s">
        <v>26</v>
      </c>
      <c r="G227" s="9" t="s">
        <v>22</v>
      </c>
      <c r="H227" s="15" t="s">
        <v>19</v>
      </c>
      <c r="I227" s="9" t="s">
        <v>40</v>
      </c>
      <c r="J227" s="16"/>
      <c r="K227" s="14" t="s">
        <v>20</v>
      </c>
    </row>
    <row r="228" ht="15.75" customHeight="1">
      <c r="A228" s="9" t="s">
        <v>257</v>
      </c>
      <c r="B228" s="9">
        <v>1854.0</v>
      </c>
      <c r="C228" s="9">
        <v>1912.0</v>
      </c>
      <c r="D228" s="10">
        <v>58.0</v>
      </c>
      <c r="E228" s="11" t="s">
        <v>11</v>
      </c>
      <c r="F228" s="9" t="s">
        <v>16</v>
      </c>
      <c r="G228" s="9" t="s">
        <v>22</v>
      </c>
      <c r="H228" s="15" t="s">
        <v>19</v>
      </c>
      <c r="I228" s="9" t="s">
        <v>40</v>
      </c>
      <c r="J228" s="16"/>
      <c r="K228" s="14" t="s">
        <v>14</v>
      </c>
    </row>
    <row r="229" ht="15.75" customHeight="1">
      <c r="A229" s="9" t="s">
        <v>258</v>
      </c>
      <c r="B229" s="9">
        <v>1848.0</v>
      </c>
      <c r="C229" s="9">
        <v>1912.0</v>
      </c>
      <c r="D229" s="10">
        <v>64.0</v>
      </c>
      <c r="E229" s="11" t="s">
        <v>11</v>
      </c>
      <c r="F229" s="9" t="s">
        <v>26</v>
      </c>
      <c r="G229" s="9" t="s">
        <v>22</v>
      </c>
      <c r="H229" s="15" t="s">
        <v>19</v>
      </c>
      <c r="I229" s="9" t="s">
        <v>27</v>
      </c>
      <c r="J229" s="13">
        <v>0.0</v>
      </c>
      <c r="K229" s="14" t="s">
        <v>20</v>
      </c>
    </row>
    <row r="230" ht="15.75" customHeight="1">
      <c r="A230" s="9" t="s">
        <v>259</v>
      </c>
      <c r="B230" s="9">
        <v>1884.0</v>
      </c>
      <c r="C230" s="9">
        <v>1912.0</v>
      </c>
      <c r="D230" s="10">
        <v>28.0</v>
      </c>
      <c r="E230" s="11" t="s">
        <v>11</v>
      </c>
      <c r="F230" s="9" t="s">
        <v>16</v>
      </c>
      <c r="G230" s="9" t="s">
        <v>22</v>
      </c>
      <c r="H230" s="15" t="s">
        <v>19</v>
      </c>
      <c r="I230" s="9" t="s">
        <v>40</v>
      </c>
      <c r="J230" s="13">
        <v>0.0</v>
      </c>
      <c r="K230" s="14" t="s">
        <v>24</v>
      </c>
    </row>
    <row r="231" ht="15.75" customHeight="1">
      <c r="A231" s="9" t="s">
        <v>260</v>
      </c>
      <c r="B231" s="9">
        <v>1866.0</v>
      </c>
      <c r="C231" s="9">
        <v>1912.0</v>
      </c>
      <c r="D231" s="10">
        <v>46.0</v>
      </c>
      <c r="E231" s="11" t="s">
        <v>11</v>
      </c>
      <c r="F231" s="9" t="s">
        <v>16</v>
      </c>
      <c r="G231" s="9" t="s">
        <v>22</v>
      </c>
      <c r="H231" s="15" t="s">
        <v>19</v>
      </c>
      <c r="I231" s="9" t="s">
        <v>40</v>
      </c>
      <c r="J231" s="13">
        <v>0.0</v>
      </c>
      <c r="K231" s="14" t="s">
        <v>14</v>
      </c>
    </row>
    <row r="232" ht="15.75" customHeight="1">
      <c r="A232" s="9" t="s">
        <v>261</v>
      </c>
      <c r="B232" s="9">
        <v>1858.0</v>
      </c>
      <c r="C232" s="9">
        <v>1912.0</v>
      </c>
      <c r="D232" s="10">
        <v>54.0</v>
      </c>
      <c r="E232" s="17" t="s">
        <v>30</v>
      </c>
      <c r="G232" s="9" t="s">
        <v>33</v>
      </c>
      <c r="H232" s="15" t="s">
        <v>19</v>
      </c>
      <c r="I232" s="12"/>
      <c r="J232" s="13">
        <v>0.0</v>
      </c>
      <c r="K232" s="14" t="s">
        <v>14</v>
      </c>
    </row>
    <row r="233" ht="15.75" customHeight="1">
      <c r="A233" s="9" t="s">
        <v>262</v>
      </c>
      <c r="B233" s="9">
        <v>1842.0</v>
      </c>
      <c r="C233" s="9">
        <v>1912.0</v>
      </c>
      <c r="D233" s="10">
        <v>70.0</v>
      </c>
      <c r="E233" s="11" t="s">
        <v>11</v>
      </c>
      <c r="F233" s="9" t="s">
        <v>16</v>
      </c>
      <c r="G233" s="9" t="s">
        <v>33</v>
      </c>
      <c r="H233" s="15" t="s">
        <v>19</v>
      </c>
      <c r="I233" s="12"/>
      <c r="J233" s="16"/>
      <c r="K233" s="14" t="s">
        <v>20</v>
      </c>
    </row>
    <row r="234" ht="15.75" customHeight="1">
      <c r="A234" s="9" t="s">
        <v>263</v>
      </c>
      <c r="B234" s="9">
        <v>1896.0</v>
      </c>
      <c r="C234" s="9">
        <v>1912.0</v>
      </c>
      <c r="D234" s="10">
        <v>16.0</v>
      </c>
      <c r="E234" s="11" t="s">
        <v>11</v>
      </c>
      <c r="F234" s="9" t="s">
        <v>26</v>
      </c>
      <c r="G234" s="9" t="s">
        <v>22</v>
      </c>
      <c r="H234" s="15" t="s">
        <v>19</v>
      </c>
      <c r="I234" s="9" t="s">
        <v>40</v>
      </c>
      <c r="J234" s="13">
        <v>0.0</v>
      </c>
      <c r="K234" s="14" t="s">
        <v>31</v>
      </c>
    </row>
    <row r="235" ht="15.75" customHeight="1">
      <c r="A235" s="9" t="s">
        <v>264</v>
      </c>
      <c r="B235" s="9">
        <v>1884.0</v>
      </c>
      <c r="C235" s="9">
        <v>1924.0</v>
      </c>
      <c r="D235" s="10">
        <v>28.0</v>
      </c>
      <c r="E235" s="17" t="s">
        <v>30</v>
      </c>
      <c r="F235" s="9" t="s">
        <v>16</v>
      </c>
      <c r="G235" s="9" t="s">
        <v>12</v>
      </c>
      <c r="H235" s="9" t="s">
        <v>13</v>
      </c>
      <c r="I235" s="12"/>
      <c r="J235" s="13">
        <v>0.0</v>
      </c>
      <c r="K235" s="14" t="s">
        <v>24</v>
      </c>
    </row>
    <row r="236" ht="15.75" customHeight="1">
      <c r="A236" s="9" t="s">
        <v>265</v>
      </c>
      <c r="B236" s="9">
        <v>1878.0</v>
      </c>
      <c r="C236" s="9">
        <v>1912.0</v>
      </c>
      <c r="D236" s="10">
        <v>34.0</v>
      </c>
      <c r="E236" s="11" t="s">
        <v>11</v>
      </c>
      <c r="F236" s="9" t="s">
        <v>16</v>
      </c>
      <c r="G236" s="9" t="s">
        <v>22</v>
      </c>
      <c r="H236" s="15" t="s">
        <v>19</v>
      </c>
      <c r="I236" s="9" t="s">
        <v>27</v>
      </c>
      <c r="J236" s="13">
        <v>0.0</v>
      </c>
      <c r="K236" s="14" t="s">
        <v>24</v>
      </c>
    </row>
    <row r="237" ht="15.75" customHeight="1">
      <c r="A237" s="9" t="s">
        <v>266</v>
      </c>
      <c r="B237" s="9">
        <v>1841.0</v>
      </c>
      <c r="C237" s="9">
        <v>1912.0</v>
      </c>
      <c r="D237" s="10">
        <v>71.0</v>
      </c>
      <c r="E237" s="11" t="s">
        <v>11</v>
      </c>
      <c r="F237" s="9" t="s">
        <v>16</v>
      </c>
      <c r="G237" s="9" t="s">
        <v>22</v>
      </c>
      <c r="H237" s="15" t="s">
        <v>19</v>
      </c>
      <c r="I237" s="9" t="s">
        <v>27</v>
      </c>
      <c r="J237" s="13">
        <v>0.0</v>
      </c>
      <c r="K237" s="14" t="s">
        <v>20</v>
      </c>
    </row>
    <row r="238" ht="15.75" customHeight="1">
      <c r="A238" s="9" t="s">
        <v>267</v>
      </c>
      <c r="B238" s="9">
        <v>1873.0</v>
      </c>
      <c r="C238" s="9">
        <v>1912.0</v>
      </c>
      <c r="D238" s="10">
        <v>39.0</v>
      </c>
      <c r="E238" s="17" t="s">
        <v>30</v>
      </c>
      <c r="G238" s="9" t="s">
        <v>33</v>
      </c>
      <c r="H238" s="9" t="s">
        <v>13</v>
      </c>
      <c r="J238" s="16"/>
      <c r="K238" s="14" t="s">
        <v>24</v>
      </c>
    </row>
    <row r="239" ht="15.75" customHeight="1">
      <c r="A239" s="9" t="s">
        <v>268</v>
      </c>
      <c r="B239" s="9">
        <v>1851.0</v>
      </c>
      <c r="C239" s="9">
        <v>1912.0</v>
      </c>
      <c r="D239" s="10">
        <v>61.0</v>
      </c>
      <c r="E239" s="11" t="s">
        <v>11</v>
      </c>
      <c r="F239" s="9" t="s">
        <v>26</v>
      </c>
      <c r="G239" s="9" t="s">
        <v>22</v>
      </c>
      <c r="H239" s="15" t="s">
        <v>19</v>
      </c>
      <c r="I239" s="9" t="s">
        <v>35</v>
      </c>
      <c r="J239" s="13">
        <v>0.0</v>
      </c>
      <c r="K239" s="14" t="s">
        <v>20</v>
      </c>
    </row>
    <row r="240" ht="15.75" customHeight="1">
      <c r="A240" s="9" t="s">
        <v>269</v>
      </c>
      <c r="B240" s="9">
        <v>1876.0</v>
      </c>
      <c r="C240" s="9">
        <v>1944.0</v>
      </c>
      <c r="D240" s="10">
        <v>36.0</v>
      </c>
      <c r="E240" s="17" t="s">
        <v>30</v>
      </c>
      <c r="F240" s="9" t="s">
        <v>26</v>
      </c>
      <c r="G240" s="9" t="s">
        <v>12</v>
      </c>
      <c r="H240" s="9" t="s">
        <v>13</v>
      </c>
      <c r="J240" s="16"/>
      <c r="K240" s="14" t="s">
        <v>24</v>
      </c>
    </row>
    <row r="241" ht="15.75" customHeight="1">
      <c r="A241" s="9" t="s">
        <v>270</v>
      </c>
      <c r="B241" s="9">
        <v>1848.0</v>
      </c>
      <c r="C241" s="9">
        <v>1912.0</v>
      </c>
      <c r="D241" s="10">
        <v>64.0</v>
      </c>
      <c r="E241" s="11" t="s">
        <v>11</v>
      </c>
      <c r="G241" s="9" t="s">
        <v>12</v>
      </c>
      <c r="H241" s="15" t="s">
        <v>19</v>
      </c>
      <c r="J241" s="13">
        <v>0.0</v>
      </c>
      <c r="K241" s="14" t="s">
        <v>20</v>
      </c>
    </row>
    <row r="242" ht="15.75" customHeight="1">
      <c r="A242" s="9" t="s">
        <v>271</v>
      </c>
      <c r="B242" s="9">
        <v>1901.0</v>
      </c>
      <c r="C242" s="9">
        <v>1942.0</v>
      </c>
      <c r="D242" s="10">
        <v>11.0</v>
      </c>
      <c r="E242" s="11" t="s">
        <v>11</v>
      </c>
      <c r="F242" s="9" t="s">
        <v>26</v>
      </c>
      <c r="G242" s="9" t="s">
        <v>12</v>
      </c>
      <c r="H242" s="9" t="s">
        <v>13</v>
      </c>
      <c r="J242" s="13">
        <v>0.0</v>
      </c>
      <c r="K242" s="14" t="s">
        <v>31</v>
      </c>
    </row>
    <row r="243" ht="15.75" customHeight="1">
      <c r="A243" s="9" t="s">
        <v>272</v>
      </c>
      <c r="B243" s="9">
        <v>1842.0</v>
      </c>
      <c r="C243" s="9">
        <v>1976.0</v>
      </c>
      <c r="D243" s="10">
        <v>70.0</v>
      </c>
      <c r="E243" s="17" t="s">
        <v>30</v>
      </c>
      <c r="F243" s="9" t="s">
        <v>26</v>
      </c>
      <c r="G243" s="9" t="s">
        <v>18</v>
      </c>
      <c r="H243" s="9" t="s">
        <v>13</v>
      </c>
      <c r="I243" s="12"/>
      <c r="J243" s="13">
        <v>0.0</v>
      </c>
      <c r="K243" s="14" t="s">
        <v>20</v>
      </c>
    </row>
    <row r="244" ht="15.75" customHeight="1">
      <c r="A244" s="9" t="s">
        <v>273</v>
      </c>
      <c r="B244" s="9">
        <v>1870.0</v>
      </c>
      <c r="C244" s="9">
        <v>1962.0</v>
      </c>
      <c r="D244" s="10">
        <v>42.0</v>
      </c>
      <c r="E244" s="11" t="s">
        <v>11</v>
      </c>
      <c r="F244" s="9" t="s">
        <v>16</v>
      </c>
      <c r="G244" s="9" t="s">
        <v>33</v>
      </c>
      <c r="H244" s="9" t="s">
        <v>13</v>
      </c>
      <c r="I244" s="12"/>
      <c r="J244" s="16"/>
      <c r="K244" s="14" t="s">
        <v>14</v>
      </c>
    </row>
    <row r="245" ht="15.75" customHeight="1">
      <c r="A245" s="9" t="s">
        <v>274</v>
      </c>
      <c r="B245" s="9">
        <v>1893.0</v>
      </c>
      <c r="C245" s="9">
        <v>1959.0</v>
      </c>
      <c r="D245" s="10">
        <v>19.0</v>
      </c>
      <c r="E245" s="17" t="s">
        <v>30</v>
      </c>
      <c r="F245" s="9" t="s">
        <v>16</v>
      </c>
      <c r="G245" s="9" t="s">
        <v>22</v>
      </c>
      <c r="H245" s="9" t="s">
        <v>13</v>
      </c>
      <c r="I245" s="9" t="s">
        <v>27</v>
      </c>
      <c r="J245" s="13">
        <v>0.0</v>
      </c>
      <c r="K245" s="14" t="s">
        <v>31</v>
      </c>
    </row>
    <row r="246" ht="15.75" customHeight="1">
      <c r="A246" s="9" t="s">
        <v>275</v>
      </c>
      <c r="B246" s="9">
        <v>1877.0</v>
      </c>
      <c r="C246" s="9">
        <v>1915.0</v>
      </c>
      <c r="D246" s="10">
        <v>35.0</v>
      </c>
      <c r="E246" s="11" t="s">
        <v>11</v>
      </c>
      <c r="F246" s="9" t="s">
        <v>26</v>
      </c>
      <c r="G246" s="9" t="s">
        <v>22</v>
      </c>
      <c r="H246" s="9" t="s">
        <v>13</v>
      </c>
      <c r="I246" s="9" t="s">
        <v>40</v>
      </c>
      <c r="J246" s="16"/>
      <c r="K246" s="14" t="s">
        <v>24</v>
      </c>
    </row>
    <row r="247" ht="15.75" customHeight="1">
      <c r="A247" s="9" t="s">
        <v>276</v>
      </c>
      <c r="B247" s="9">
        <v>1893.0</v>
      </c>
      <c r="C247" s="9">
        <v>1912.0</v>
      </c>
      <c r="D247" s="10">
        <v>19.0</v>
      </c>
      <c r="E247" s="11" t="s">
        <v>11</v>
      </c>
      <c r="F247" s="9" t="s">
        <v>26</v>
      </c>
      <c r="G247" s="9" t="s">
        <v>22</v>
      </c>
      <c r="H247" s="15" t="s">
        <v>19</v>
      </c>
      <c r="I247" s="9" t="s">
        <v>35</v>
      </c>
      <c r="J247" s="16"/>
      <c r="K247" s="14" t="s">
        <v>31</v>
      </c>
    </row>
    <row r="248" ht="15.75" customHeight="1">
      <c r="A248" s="9" t="s">
        <v>277</v>
      </c>
      <c r="B248" s="9">
        <v>1861.0</v>
      </c>
      <c r="C248" s="9">
        <v>1912.0</v>
      </c>
      <c r="D248" s="10">
        <v>51.0</v>
      </c>
      <c r="E248" s="11" t="s">
        <v>11</v>
      </c>
      <c r="F248" s="9" t="s">
        <v>16</v>
      </c>
      <c r="G248" s="9" t="s">
        <v>22</v>
      </c>
      <c r="H248" s="15" t="s">
        <v>19</v>
      </c>
      <c r="I248" s="9" t="s">
        <v>27</v>
      </c>
      <c r="J248" s="16"/>
      <c r="K248" s="14" t="s">
        <v>14</v>
      </c>
    </row>
    <row r="249" ht="15.75" customHeight="1">
      <c r="A249" s="9" t="s">
        <v>278</v>
      </c>
      <c r="B249" s="9">
        <v>1858.0</v>
      </c>
      <c r="C249" s="9">
        <v>1912.0</v>
      </c>
      <c r="D249" s="10">
        <v>54.0</v>
      </c>
      <c r="E249" s="17" t="s">
        <v>30</v>
      </c>
      <c r="G249" s="9" t="s">
        <v>33</v>
      </c>
      <c r="H249" s="15" t="s">
        <v>19</v>
      </c>
      <c r="I249" s="12"/>
      <c r="J249" s="16"/>
      <c r="K249" s="14" t="s">
        <v>14</v>
      </c>
    </row>
    <row r="250" ht="15.75" customHeight="1">
      <c r="A250" s="9" t="s">
        <v>279</v>
      </c>
      <c r="B250" s="9">
        <v>1883.0</v>
      </c>
      <c r="D250" s="10">
        <v>29.0</v>
      </c>
      <c r="E250" s="17" t="s">
        <v>30</v>
      </c>
      <c r="F250" s="9" t="s">
        <v>26</v>
      </c>
      <c r="G250" s="9" t="s">
        <v>33</v>
      </c>
      <c r="H250" s="9" t="s">
        <v>13</v>
      </c>
      <c r="J250" s="16"/>
      <c r="K250" s="14" t="s">
        <v>24</v>
      </c>
    </row>
    <row r="251" ht="15.75" customHeight="1">
      <c r="A251" s="9" t="s">
        <v>280</v>
      </c>
      <c r="B251" s="9">
        <v>1902.0</v>
      </c>
      <c r="C251" s="9">
        <v>1912.0</v>
      </c>
      <c r="D251" s="10">
        <v>10.0</v>
      </c>
      <c r="E251" s="11" t="s">
        <v>11</v>
      </c>
      <c r="G251" s="9" t="s">
        <v>33</v>
      </c>
      <c r="H251" s="15" t="s">
        <v>19</v>
      </c>
      <c r="J251" s="16"/>
      <c r="K251" s="14" t="s">
        <v>31</v>
      </c>
    </row>
    <row r="252" ht="15.75" customHeight="1">
      <c r="A252" s="9" t="s">
        <v>281</v>
      </c>
      <c r="B252" s="9">
        <v>1851.0</v>
      </c>
      <c r="C252" s="9">
        <v>1962.0</v>
      </c>
      <c r="D252" s="10">
        <v>61.0</v>
      </c>
      <c r="E252" s="17" t="s">
        <v>30</v>
      </c>
      <c r="F252" s="9" t="s">
        <v>16</v>
      </c>
      <c r="G252" s="9" t="s">
        <v>33</v>
      </c>
      <c r="H252" s="9" t="s">
        <v>13</v>
      </c>
      <c r="I252" s="12"/>
      <c r="J252" s="16"/>
      <c r="K252" s="14" t="s">
        <v>20</v>
      </c>
    </row>
    <row r="253" ht="15.75" customHeight="1">
      <c r="A253" s="9" t="s">
        <v>282</v>
      </c>
      <c r="B253" s="9">
        <v>1893.0</v>
      </c>
      <c r="C253" s="9">
        <v>1912.0</v>
      </c>
      <c r="D253" s="10">
        <v>19.0</v>
      </c>
      <c r="E253" s="11" t="s">
        <v>11</v>
      </c>
      <c r="F253" s="9" t="s">
        <v>16</v>
      </c>
      <c r="G253" s="9" t="s">
        <v>22</v>
      </c>
      <c r="H253" s="15" t="s">
        <v>19</v>
      </c>
      <c r="I253" s="9" t="s">
        <v>27</v>
      </c>
      <c r="J253" s="16"/>
      <c r="K253" s="14" t="s">
        <v>31</v>
      </c>
    </row>
    <row r="254" ht="15.75" customHeight="1">
      <c r="A254" s="9" t="s">
        <v>283</v>
      </c>
      <c r="B254" s="9">
        <v>1894.0</v>
      </c>
      <c r="C254" s="9">
        <v>1912.0</v>
      </c>
      <c r="D254" s="10">
        <v>18.0</v>
      </c>
      <c r="E254" s="11" t="s">
        <v>11</v>
      </c>
      <c r="F254" s="9" t="s">
        <v>44</v>
      </c>
      <c r="G254" s="9" t="s">
        <v>22</v>
      </c>
      <c r="H254" s="15" t="s">
        <v>19</v>
      </c>
      <c r="I254" s="9" t="s">
        <v>27</v>
      </c>
      <c r="J254" s="16"/>
      <c r="K254" s="14" t="s">
        <v>31</v>
      </c>
    </row>
    <row r="255" ht="15.75" customHeight="1">
      <c r="A255" s="9" t="s">
        <v>284</v>
      </c>
      <c r="B255" s="9">
        <v>1874.0</v>
      </c>
      <c r="C255" s="9">
        <v>1912.0</v>
      </c>
      <c r="D255" s="10">
        <v>38.0</v>
      </c>
      <c r="E255" s="11" t="s">
        <v>11</v>
      </c>
      <c r="F255" s="9" t="s">
        <v>16</v>
      </c>
      <c r="G255" s="9" t="s">
        <v>22</v>
      </c>
      <c r="H255" s="15" t="s">
        <v>19</v>
      </c>
      <c r="I255" s="9" t="s">
        <v>40</v>
      </c>
      <c r="J255" s="16"/>
      <c r="K255" s="14" t="s">
        <v>24</v>
      </c>
    </row>
    <row r="256" ht="15.75" customHeight="1">
      <c r="A256" s="9" t="s">
        <v>285</v>
      </c>
      <c r="B256" s="9">
        <v>1896.0</v>
      </c>
      <c r="C256" s="9">
        <v>1912.0</v>
      </c>
      <c r="D256" s="10">
        <v>16.0</v>
      </c>
      <c r="E256" s="11" t="s">
        <v>11</v>
      </c>
      <c r="G256" s="9" t="s">
        <v>33</v>
      </c>
      <c r="H256" s="15" t="s">
        <v>19</v>
      </c>
      <c r="I256" s="12"/>
      <c r="J256" s="16"/>
      <c r="K256" s="14" t="s">
        <v>31</v>
      </c>
    </row>
    <row r="257" ht="15.75" customHeight="1">
      <c r="A257" s="9" t="s">
        <v>286</v>
      </c>
      <c r="B257" s="9">
        <v>1892.0</v>
      </c>
      <c r="C257" s="9">
        <v>1912.0</v>
      </c>
      <c r="D257" s="10">
        <v>20.0</v>
      </c>
      <c r="E257" s="11" t="s">
        <v>11</v>
      </c>
      <c r="F257" s="9" t="s">
        <v>26</v>
      </c>
      <c r="G257" s="9" t="s">
        <v>33</v>
      </c>
      <c r="H257" s="15" t="s">
        <v>19</v>
      </c>
      <c r="I257" s="12"/>
      <c r="J257" s="13">
        <v>0.0</v>
      </c>
      <c r="K257" s="14" t="s">
        <v>24</v>
      </c>
    </row>
    <row r="258" ht="15.75" customHeight="1">
      <c r="A258" s="9" t="s">
        <v>287</v>
      </c>
      <c r="B258" s="9">
        <v>1851.0</v>
      </c>
      <c r="C258" s="9">
        <v>1912.0</v>
      </c>
      <c r="D258" s="10">
        <v>61.0</v>
      </c>
      <c r="E258" s="11" t="s">
        <v>11</v>
      </c>
      <c r="F258" s="9" t="s">
        <v>26</v>
      </c>
      <c r="G258" s="9" t="s">
        <v>22</v>
      </c>
      <c r="H258" s="15" t="s">
        <v>19</v>
      </c>
      <c r="I258" s="9" t="s">
        <v>35</v>
      </c>
      <c r="J258" s="16"/>
      <c r="K258" s="14" t="s">
        <v>20</v>
      </c>
    </row>
    <row r="259" ht="15.75" customHeight="1">
      <c r="A259" s="9" t="s">
        <v>288</v>
      </c>
      <c r="B259" s="9">
        <v>1863.0</v>
      </c>
      <c r="C259" s="9">
        <v>1990.0</v>
      </c>
      <c r="D259" s="10">
        <v>49.0</v>
      </c>
      <c r="E259" s="17" t="s">
        <v>30</v>
      </c>
      <c r="G259" s="9" t="s">
        <v>18</v>
      </c>
      <c r="H259" s="9" t="s">
        <v>13</v>
      </c>
      <c r="J259" s="13">
        <v>0.0</v>
      </c>
      <c r="K259" s="14" t="s">
        <v>14</v>
      </c>
    </row>
    <row r="260" ht="15.75" customHeight="1">
      <c r="A260" s="9" t="s">
        <v>289</v>
      </c>
      <c r="B260" s="9">
        <v>1883.0</v>
      </c>
      <c r="C260" s="9">
        <v>1912.0</v>
      </c>
      <c r="D260" s="10">
        <v>29.0</v>
      </c>
      <c r="E260" s="11" t="s">
        <v>11</v>
      </c>
      <c r="F260" s="9" t="s">
        <v>26</v>
      </c>
      <c r="G260" s="9" t="s">
        <v>22</v>
      </c>
      <c r="H260" s="15" t="s">
        <v>19</v>
      </c>
      <c r="I260" s="9" t="s">
        <v>27</v>
      </c>
      <c r="J260" s="13">
        <v>0.0</v>
      </c>
      <c r="K260" s="14" t="s">
        <v>24</v>
      </c>
    </row>
    <row r="261" ht="15.75" customHeight="1">
      <c r="A261" s="9" t="s">
        <v>290</v>
      </c>
      <c r="B261" s="9">
        <v>1845.0</v>
      </c>
      <c r="C261" s="9">
        <v>1912.0</v>
      </c>
      <c r="D261" s="10">
        <v>67.0</v>
      </c>
      <c r="E261" s="11" t="s">
        <v>11</v>
      </c>
      <c r="F261" s="9" t="s">
        <v>26</v>
      </c>
      <c r="G261" s="9" t="s">
        <v>22</v>
      </c>
      <c r="H261" s="15" t="s">
        <v>19</v>
      </c>
      <c r="I261" s="9" t="s">
        <v>40</v>
      </c>
      <c r="J261" s="16"/>
      <c r="K261" s="14" t="s">
        <v>20</v>
      </c>
    </row>
    <row r="262" ht="15.75" customHeight="1">
      <c r="A262" s="9" t="s">
        <v>291</v>
      </c>
      <c r="B262" s="9">
        <v>1853.0</v>
      </c>
      <c r="C262" s="9">
        <v>1912.0</v>
      </c>
      <c r="D262" s="10">
        <v>59.0</v>
      </c>
      <c r="E262" s="11" t="s">
        <v>11</v>
      </c>
      <c r="F262" s="9" t="s">
        <v>16</v>
      </c>
      <c r="G262" s="9" t="s">
        <v>22</v>
      </c>
      <c r="H262" s="15" t="s">
        <v>19</v>
      </c>
      <c r="I262" s="9" t="s">
        <v>35</v>
      </c>
      <c r="J262" s="13">
        <v>0.0</v>
      </c>
      <c r="K262" s="14" t="s">
        <v>14</v>
      </c>
    </row>
    <row r="263" ht="15.75" customHeight="1">
      <c r="A263" s="9" t="s">
        <v>292</v>
      </c>
      <c r="B263" s="9">
        <v>1874.0</v>
      </c>
      <c r="C263" s="9">
        <v>1912.0</v>
      </c>
      <c r="D263" s="10">
        <v>38.0</v>
      </c>
      <c r="E263" s="11" t="s">
        <v>11</v>
      </c>
      <c r="F263" s="9" t="s">
        <v>16</v>
      </c>
      <c r="G263" s="9" t="s">
        <v>12</v>
      </c>
      <c r="H263" s="15" t="s">
        <v>19</v>
      </c>
      <c r="J263" s="16"/>
      <c r="K263" s="14" t="s">
        <v>24</v>
      </c>
    </row>
    <row r="264" ht="15.75" customHeight="1">
      <c r="A264" s="9" t="s">
        <v>293</v>
      </c>
      <c r="B264" s="9">
        <v>1890.0</v>
      </c>
      <c r="C264" s="9">
        <v>1912.0</v>
      </c>
      <c r="D264" s="10">
        <v>22.0</v>
      </c>
      <c r="E264" s="11" t="s">
        <v>11</v>
      </c>
      <c r="F264" s="9" t="s">
        <v>16</v>
      </c>
      <c r="G264" s="9" t="s">
        <v>22</v>
      </c>
      <c r="H264" s="15" t="s">
        <v>19</v>
      </c>
      <c r="I264" s="9" t="s">
        <v>27</v>
      </c>
      <c r="J264" s="16"/>
      <c r="K264" s="14" t="s">
        <v>24</v>
      </c>
    </row>
    <row r="265" ht="15.75" customHeight="1">
      <c r="A265" s="9" t="s">
        <v>294</v>
      </c>
      <c r="B265" s="9">
        <v>1889.0</v>
      </c>
      <c r="C265" s="9">
        <v>1912.0</v>
      </c>
      <c r="D265" s="10">
        <v>23.0</v>
      </c>
      <c r="E265" s="17" t="s">
        <v>30</v>
      </c>
      <c r="G265" s="9" t="s">
        <v>33</v>
      </c>
      <c r="H265" s="15" t="s">
        <v>19</v>
      </c>
      <c r="I265" s="12"/>
      <c r="J265" s="16"/>
      <c r="K265" s="14" t="s">
        <v>24</v>
      </c>
    </row>
    <row r="266" ht="15.75" customHeight="1">
      <c r="A266" s="9" t="s">
        <v>295</v>
      </c>
      <c r="B266" s="9">
        <v>1848.0</v>
      </c>
      <c r="C266" s="9">
        <v>1991.0</v>
      </c>
      <c r="D266" s="10">
        <v>64.0</v>
      </c>
      <c r="E266" s="11" t="s">
        <v>11</v>
      </c>
      <c r="G266" s="9" t="s">
        <v>33</v>
      </c>
      <c r="H266" s="9" t="s">
        <v>13</v>
      </c>
      <c r="I266" s="12"/>
      <c r="J266" s="13">
        <v>0.0</v>
      </c>
      <c r="K266" s="14" t="s">
        <v>20</v>
      </c>
    </row>
    <row r="267" ht="15.75" customHeight="1">
      <c r="A267" s="9" t="s">
        <v>296</v>
      </c>
      <c r="B267" s="9">
        <v>1873.0</v>
      </c>
      <c r="C267" s="9">
        <v>1912.0</v>
      </c>
      <c r="D267" s="10">
        <v>39.0</v>
      </c>
      <c r="E267" s="11" t="s">
        <v>11</v>
      </c>
      <c r="F267" s="9" t="s">
        <v>16</v>
      </c>
      <c r="G267" s="9" t="s">
        <v>33</v>
      </c>
      <c r="H267" s="15" t="s">
        <v>19</v>
      </c>
      <c r="J267" s="16"/>
      <c r="K267" s="14" t="s">
        <v>24</v>
      </c>
    </row>
    <row r="268" ht="15.75" customHeight="1">
      <c r="A268" s="9" t="s">
        <v>297</v>
      </c>
      <c r="B268" s="9">
        <v>1857.0</v>
      </c>
      <c r="C268" s="9">
        <v>1970.0</v>
      </c>
      <c r="D268" s="10">
        <v>55.0</v>
      </c>
      <c r="E268" s="17" t="s">
        <v>30</v>
      </c>
      <c r="F268" s="9" t="s">
        <v>26</v>
      </c>
      <c r="G268" s="9" t="s">
        <v>33</v>
      </c>
      <c r="H268" s="9" t="s">
        <v>13</v>
      </c>
      <c r="I268" s="12"/>
      <c r="J268" s="13">
        <v>0.0</v>
      </c>
      <c r="K268" s="14" t="s">
        <v>14</v>
      </c>
    </row>
    <row r="269" ht="15.75" customHeight="1">
      <c r="A269" s="9" t="s">
        <v>298</v>
      </c>
      <c r="B269" s="9">
        <v>1846.0</v>
      </c>
      <c r="C269" s="9">
        <v>1912.0</v>
      </c>
      <c r="D269" s="10">
        <v>66.0</v>
      </c>
      <c r="E269" s="11" t="s">
        <v>11</v>
      </c>
      <c r="F269" s="9" t="s">
        <v>16</v>
      </c>
      <c r="G269" s="9" t="s">
        <v>22</v>
      </c>
      <c r="H269" s="15" t="s">
        <v>19</v>
      </c>
      <c r="I269" s="9" t="s">
        <v>27</v>
      </c>
      <c r="J269" s="16"/>
      <c r="K269" s="14" t="s">
        <v>20</v>
      </c>
    </row>
    <row r="270" ht="15.75" customHeight="1">
      <c r="A270" s="9" t="s">
        <v>299</v>
      </c>
      <c r="B270" s="9">
        <v>1891.0</v>
      </c>
      <c r="C270" s="9">
        <v>1912.0</v>
      </c>
      <c r="D270" s="10">
        <v>21.0</v>
      </c>
      <c r="E270" s="11" t="s">
        <v>11</v>
      </c>
      <c r="G270" s="9" t="s">
        <v>18</v>
      </c>
      <c r="H270" s="15" t="s">
        <v>19</v>
      </c>
      <c r="J270" s="13">
        <v>0.0</v>
      </c>
      <c r="K270" s="14" t="s">
        <v>24</v>
      </c>
    </row>
    <row r="271" ht="15.75" customHeight="1">
      <c r="A271" s="9" t="s">
        <v>300</v>
      </c>
      <c r="B271" s="9">
        <v>1895.0</v>
      </c>
      <c r="C271" s="9">
        <v>1912.0</v>
      </c>
      <c r="D271" s="10">
        <v>17.0</v>
      </c>
      <c r="E271" s="11" t="s">
        <v>11</v>
      </c>
      <c r="F271" s="9" t="s">
        <v>16</v>
      </c>
      <c r="G271" s="9" t="s">
        <v>18</v>
      </c>
      <c r="H271" s="15" t="s">
        <v>19</v>
      </c>
      <c r="I271" s="12"/>
      <c r="J271" s="13">
        <v>0.0</v>
      </c>
      <c r="K271" s="14" t="s">
        <v>31</v>
      </c>
    </row>
    <row r="272" ht="15.75" customHeight="1">
      <c r="A272" s="9" t="s">
        <v>301</v>
      </c>
      <c r="B272" s="9">
        <v>1880.0</v>
      </c>
      <c r="C272" s="9">
        <v>1962.0</v>
      </c>
      <c r="D272" s="10">
        <v>32.0</v>
      </c>
      <c r="E272" s="11" t="s">
        <v>11</v>
      </c>
      <c r="F272" s="9" t="s">
        <v>26</v>
      </c>
      <c r="G272" s="9" t="s">
        <v>12</v>
      </c>
      <c r="H272" s="9" t="s">
        <v>13</v>
      </c>
      <c r="J272" s="13">
        <v>0.0</v>
      </c>
      <c r="K272" s="14" t="s">
        <v>24</v>
      </c>
    </row>
    <row r="273" ht="15.75" customHeight="1">
      <c r="A273" s="9" t="s">
        <v>302</v>
      </c>
      <c r="B273" s="9">
        <v>1905.0</v>
      </c>
      <c r="C273" s="9">
        <v>1940.0</v>
      </c>
      <c r="D273" s="10">
        <v>7.0</v>
      </c>
      <c r="E273" s="17" t="s">
        <v>30</v>
      </c>
      <c r="F273" s="9" t="s">
        <v>16</v>
      </c>
      <c r="G273" s="9" t="s">
        <v>12</v>
      </c>
      <c r="H273" s="9" t="s">
        <v>13</v>
      </c>
      <c r="I273" s="12"/>
      <c r="J273" s="13">
        <v>0.0</v>
      </c>
      <c r="K273" s="14" t="s">
        <v>31</v>
      </c>
    </row>
    <row r="274" ht="15.75" customHeight="1">
      <c r="A274" s="9" t="s">
        <v>303</v>
      </c>
      <c r="B274" s="9">
        <v>1887.0</v>
      </c>
      <c r="C274" s="9">
        <v>1912.0</v>
      </c>
      <c r="D274" s="10">
        <v>25.0</v>
      </c>
      <c r="E274" s="11" t="s">
        <v>11</v>
      </c>
      <c r="F274" s="9" t="s">
        <v>26</v>
      </c>
      <c r="G274" s="9" t="s">
        <v>18</v>
      </c>
      <c r="H274" s="15" t="s">
        <v>19</v>
      </c>
      <c r="J274" s="13">
        <v>0.0</v>
      </c>
      <c r="K274" s="14" t="s">
        <v>24</v>
      </c>
    </row>
    <row r="275" ht="15.75" customHeight="1">
      <c r="A275" s="9" t="s">
        <v>304</v>
      </c>
      <c r="B275" s="9">
        <v>1888.0</v>
      </c>
      <c r="C275" s="9">
        <v>1912.0</v>
      </c>
      <c r="D275" s="10">
        <v>24.0</v>
      </c>
      <c r="E275" s="11" t="s">
        <v>11</v>
      </c>
      <c r="G275" s="9" t="s">
        <v>22</v>
      </c>
      <c r="H275" s="15" t="s">
        <v>19</v>
      </c>
      <c r="I275" s="9" t="s">
        <v>35</v>
      </c>
      <c r="J275" s="16"/>
      <c r="K275" s="14" t="s">
        <v>24</v>
      </c>
    </row>
    <row r="276" ht="15.75" customHeight="1">
      <c r="A276" s="9" t="s">
        <v>305</v>
      </c>
      <c r="B276" s="9">
        <v>1894.0</v>
      </c>
      <c r="D276" s="10">
        <v>18.0</v>
      </c>
      <c r="E276" s="11" t="s">
        <v>11</v>
      </c>
      <c r="F276" s="9" t="s">
        <v>16</v>
      </c>
      <c r="G276" s="9" t="s">
        <v>33</v>
      </c>
      <c r="H276" s="9" t="s">
        <v>13</v>
      </c>
      <c r="I276" s="12"/>
      <c r="J276" s="16"/>
      <c r="K276" s="14" t="s">
        <v>31</v>
      </c>
    </row>
    <row r="277" ht="15.75" customHeight="1">
      <c r="A277" s="9" t="s">
        <v>306</v>
      </c>
      <c r="B277" s="9">
        <v>1871.0</v>
      </c>
      <c r="C277" s="9">
        <v>1960.0</v>
      </c>
      <c r="D277" s="10">
        <v>41.0</v>
      </c>
      <c r="E277" s="11" t="s">
        <v>11</v>
      </c>
      <c r="F277" s="9" t="s">
        <v>26</v>
      </c>
      <c r="G277" s="9" t="s">
        <v>22</v>
      </c>
      <c r="H277" s="9" t="s">
        <v>13</v>
      </c>
      <c r="I277" s="9" t="s">
        <v>27</v>
      </c>
      <c r="J277" s="13">
        <v>0.0</v>
      </c>
      <c r="K277" s="14" t="s">
        <v>14</v>
      </c>
    </row>
    <row r="278" ht="15.75" customHeight="1">
      <c r="A278" s="9" t="s">
        <v>307</v>
      </c>
      <c r="B278" s="9">
        <v>1866.0</v>
      </c>
      <c r="C278" s="9">
        <v>1912.0</v>
      </c>
      <c r="D278" s="10">
        <v>46.0</v>
      </c>
      <c r="E278" s="17" t="s">
        <v>30</v>
      </c>
      <c r="F278" s="9" t="s">
        <v>26</v>
      </c>
      <c r="G278" s="9" t="s">
        <v>33</v>
      </c>
      <c r="H278" s="15" t="s">
        <v>19</v>
      </c>
      <c r="I278" s="12"/>
      <c r="J278" s="13">
        <v>0.0</v>
      </c>
      <c r="K278" s="14" t="s">
        <v>14</v>
      </c>
    </row>
    <row r="279" ht="15.75" customHeight="1">
      <c r="A279" s="9" t="s">
        <v>308</v>
      </c>
      <c r="B279" s="9">
        <v>1898.0</v>
      </c>
      <c r="C279" s="9">
        <v>1912.0</v>
      </c>
      <c r="D279" s="10">
        <v>14.0</v>
      </c>
      <c r="E279" s="11" t="s">
        <v>11</v>
      </c>
      <c r="G279" s="9" t="s">
        <v>12</v>
      </c>
      <c r="H279" s="15" t="s">
        <v>19</v>
      </c>
      <c r="J279" s="13">
        <v>0.0</v>
      </c>
      <c r="K279" s="14" t="s">
        <v>31</v>
      </c>
    </row>
    <row r="280" ht="15.75" customHeight="1">
      <c r="A280" s="9" t="s">
        <v>309</v>
      </c>
      <c r="B280" s="9">
        <v>1896.0</v>
      </c>
      <c r="C280" s="9">
        <v>1912.0</v>
      </c>
      <c r="D280" s="10">
        <v>16.0</v>
      </c>
      <c r="E280" s="17" t="s">
        <v>30</v>
      </c>
      <c r="F280" s="9" t="s">
        <v>26</v>
      </c>
      <c r="G280" s="9" t="s">
        <v>33</v>
      </c>
      <c r="H280" s="15" t="s">
        <v>19</v>
      </c>
      <c r="J280" s="16"/>
      <c r="K280" s="14" t="s">
        <v>31</v>
      </c>
    </row>
    <row r="281" ht="15.75" customHeight="1">
      <c r="A281" s="9" t="s">
        <v>310</v>
      </c>
      <c r="B281" s="9">
        <v>1861.0</v>
      </c>
      <c r="C281" s="9">
        <v>1962.0</v>
      </c>
      <c r="D281" s="10">
        <v>51.0</v>
      </c>
      <c r="E281" s="17" t="s">
        <v>30</v>
      </c>
      <c r="G281" s="9" t="s">
        <v>12</v>
      </c>
      <c r="H281" s="9" t="s">
        <v>13</v>
      </c>
      <c r="J281" s="13">
        <v>0.0</v>
      </c>
      <c r="K281" s="14" t="s">
        <v>14</v>
      </c>
    </row>
    <row r="282" ht="15.75" customHeight="1">
      <c r="A282" s="9" t="s">
        <v>311</v>
      </c>
      <c r="B282" s="9">
        <v>1887.0</v>
      </c>
      <c r="C282" s="9">
        <v>1912.0</v>
      </c>
      <c r="D282" s="10">
        <v>25.0</v>
      </c>
      <c r="E282" s="11" t="s">
        <v>11</v>
      </c>
      <c r="F282" s="9" t="s">
        <v>26</v>
      </c>
      <c r="G282" s="9" t="s">
        <v>22</v>
      </c>
      <c r="H282" s="15" t="s">
        <v>19</v>
      </c>
      <c r="I282" s="9" t="s">
        <v>40</v>
      </c>
      <c r="J282" s="16"/>
      <c r="K282" s="14" t="s">
        <v>24</v>
      </c>
    </row>
    <row r="283" ht="15.75" customHeight="1">
      <c r="A283" s="9" t="s">
        <v>312</v>
      </c>
      <c r="B283" s="9">
        <v>1906.0</v>
      </c>
      <c r="C283" s="9">
        <v>1912.0</v>
      </c>
      <c r="D283" s="10">
        <v>6.0</v>
      </c>
      <c r="E283" s="11" t="s">
        <v>11</v>
      </c>
      <c r="G283" s="9" t="s">
        <v>33</v>
      </c>
      <c r="H283" s="15" t="s">
        <v>19</v>
      </c>
      <c r="I283" s="12"/>
      <c r="J283" s="16"/>
      <c r="K283" s="14" t="s">
        <v>31</v>
      </c>
    </row>
    <row r="284" ht="15.75" customHeight="1">
      <c r="A284" s="9" t="s">
        <v>313</v>
      </c>
      <c r="B284" s="9">
        <v>1876.0</v>
      </c>
      <c r="C284" s="9">
        <v>1912.0</v>
      </c>
      <c r="D284" s="10">
        <v>36.0</v>
      </c>
      <c r="E284" s="11" t="s">
        <v>11</v>
      </c>
      <c r="F284" s="9" t="s">
        <v>26</v>
      </c>
      <c r="G284" s="9" t="s">
        <v>18</v>
      </c>
      <c r="H284" s="15" t="s">
        <v>19</v>
      </c>
      <c r="I284" s="12"/>
      <c r="J284" s="13">
        <v>0.0</v>
      </c>
      <c r="K284" s="14" t="s">
        <v>24</v>
      </c>
    </row>
    <row r="285" ht="15.75" customHeight="1">
      <c r="A285" s="9" t="s">
        <v>314</v>
      </c>
      <c r="B285" s="9">
        <v>1869.0</v>
      </c>
      <c r="C285" s="9">
        <v>1912.0</v>
      </c>
      <c r="D285" s="10">
        <v>43.0</v>
      </c>
      <c r="E285" s="11" t="s">
        <v>11</v>
      </c>
      <c r="F285" s="9" t="s">
        <v>16</v>
      </c>
      <c r="G285" s="9" t="s">
        <v>22</v>
      </c>
      <c r="H285" s="15" t="s">
        <v>19</v>
      </c>
      <c r="I285" s="9" t="s">
        <v>40</v>
      </c>
      <c r="J285" s="16"/>
      <c r="K285" s="14" t="s">
        <v>14</v>
      </c>
    </row>
    <row r="286" ht="15.75" customHeight="1">
      <c r="A286" s="9" t="s">
        <v>315</v>
      </c>
      <c r="B286" s="9">
        <v>1899.0</v>
      </c>
      <c r="C286" s="9">
        <v>1912.0</v>
      </c>
      <c r="D286" s="10">
        <v>13.0</v>
      </c>
      <c r="E286" s="11" t="s">
        <v>11</v>
      </c>
      <c r="G286" s="9" t="s">
        <v>12</v>
      </c>
      <c r="H286" s="15" t="s">
        <v>19</v>
      </c>
      <c r="I286" s="12"/>
      <c r="J286" s="13">
        <v>0.0</v>
      </c>
      <c r="K286" s="14" t="s">
        <v>31</v>
      </c>
    </row>
    <row r="287" ht="15.75" customHeight="1">
      <c r="A287" s="9" t="s">
        <v>316</v>
      </c>
      <c r="B287" s="9">
        <v>1848.0</v>
      </c>
      <c r="C287" s="9">
        <v>1912.0</v>
      </c>
      <c r="D287" s="10">
        <v>64.0</v>
      </c>
      <c r="E287" s="11" t="s">
        <v>11</v>
      </c>
      <c r="G287" s="9" t="s">
        <v>12</v>
      </c>
      <c r="H287" s="15" t="s">
        <v>19</v>
      </c>
      <c r="J287" s="13">
        <v>0.0</v>
      </c>
      <c r="K287" s="14" t="s">
        <v>20</v>
      </c>
    </row>
    <row r="288" ht="15.75" customHeight="1">
      <c r="A288" s="9" t="s">
        <v>317</v>
      </c>
      <c r="B288" s="9">
        <v>1850.0</v>
      </c>
      <c r="C288" s="9">
        <v>1912.0</v>
      </c>
      <c r="D288" s="10">
        <v>62.0</v>
      </c>
      <c r="E288" s="11" t="s">
        <v>11</v>
      </c>
      <c r="F288" s="9" t="s">
        <v>26</v>
      </c>
      <c r="G288" s="9" t="s">
        <v>12</v>
      </c>
      <c r="H288" s="15" t="s">
        <v>19</v>
      </c>
      <c r="J288" s="13">
        <v>0.0</v>
      </c>
      <c r="K288" s="14" t="s">
        <v>20</v>
      </c>
    </row>
    <row r="289" ht="15.75" customHeight="1">
      <c r="A289" s="9" t="s">
        <v>318</v>
      </c>
      <c r="B289" s="9">
        <v>1877.0</v>
      </c>
      <c r="C289" s="9">
        <v>1912.0</v>
      </c>
      <c r="D289" s="10">
        <v>35.0</v>
      </c>
      <c r="E289" s="11" t="s">
        <v>11</v>
      </c>
      <c r="F289" s="9" t="s">
        <v>26</v>
      </c>
      <c r="G289" s="9" t="s">
        <v>33</v>
      </c>
      <c r="H289" s="15" t="s">
        <v>19</v>
      </c>
      <c r="J289" s="16"/>
      <c r="K289" s="14" t="s">
        <v>24</v>
      </c>
    </row>
    <row r="290" ht="15.75" customHeight="1">
      <c r="A290" s="9" t="s">
        <v>319</v>
      </c>
      <c r="B290" s="9">
        <v>1856.0</v>
      </c>
      <c r="C290" s="9">
        <v>1912.0</v>
      </c>
      <c r="D290" s="10">
        <v>56.0</v>
      </c>
      <c r="E290" s="11" t="s">
        <v>11</v>
      </c>
      <c r="G290" s="9" t="s">
        <v>33</v>
      </c>
      <c r="H290" s="15" t="s">
        <v>19</v>
      </c>
      <c r="J290" s="16"/>
      <c r="K290" s="14" t="s">
        <v>14</v>
      </c>
    </row>
    <row r="291" ht="15.75" customHeight="1">
      <c r="A291" s="9" t="s">
        <v>320</v>
      </c>
      <c r="B291" s="9">
        <v>1840.0</v>
      </c>
      <c r="C291" s="9">
        <v>1912.0</v>
      </c>
      <c r="D291" s="10">
        <v>72.0</v>
      </c>
      <c r="E291" s="11" t="s">
        <v>11</v>
      </c>
      <c r="F291" s="9" t="s">
        <v>26</v>
      </c>
      <c r="G291" s="9" t="s">
        <v>18</v>
      </c>
      <c r="H291" s="15" t="s">
        <v>19</v>
      </c>
      <c r="I291" s="12"/>
      <c r="J291" s="16"/>
      <c r="K291" s="14" t="s">
        <v>20</v>
      </c>
    </row>
    <row r="292" ht="15.75" customHeight="1">
      <c r="A292" s="9" t="s">
        <v>321</v>
      </c>
      <c r="B292" s="9">
        <v>1861.0</v>
      </c>
      <c r="C292" s="9">
        <v>1912.0</v>
      </c>
      <c r="D292" s="10">
        <v>51.0</v>
      </c>
      <c r="E292" s="11" t="s">
        <v>11</v>
      </c>
      <c r="F292" s="9" t="s">
        <v>16</v>
      </c>
      <c r="G292" s="9" t="s">
        <v>22</v>
      </c>
      <c r="H292" s="15" t="s">
        <v>19</v>
      </c>
      <c r="I292" s="9" t="s">
        <v>27</v>
      </c>
      <c r="J292" s="16"/>
      <c r="K292" s="14" t="s">
        <v>14</v>
      </c>
    </row>
    <row r="293" ht="15.75" customHeight="1">
      <c r="A293" s="9" t="s">
        <v>322</v>
      </c>
      <c r="B293" s="9">
        <v>1897.0</v>
      </c>
      <c r="C293" s="9">
        <v>1977.0</v>
      </c>
      <c r="D293" s="10">
        <v>15.0</v>
      </c>
      <c r="E293" s="17" t="s">
        <v>30</v>
      </c>
      <c r="F293" s="9" t="s">
        <v>26</v>
      </c>
      <c r="G293" s="9" t="s">
        <v>18</v>
      </c>
      <c r="H293" s="9" t="s">
        <v>13</v>
      </c>
      <c r="J293" s="13">
        <v>0.0</v>
      </c>
      <c r="K293" s="14" t="s">
        <v>31</v>
      </c>
    </row>
    <row r="294" ht="15.75" customHeight="1">
      <c r="A294" s="9" t="s">
        <v>323</v>
      </c>
      <c r="B294" s="9">
        <v>1893.0</v>
      </c>
      <c r="C294" s="9">
        <v>1912.0</v>
      </c>
      <c r="D294" s="10">
        <v>19.0</v>
      </c>
      <c r="E294" s="17" t="s">
        <v>30</v>
      </c>
      <c r="G294" s="9" t="s">
        <v>33</v>
      </c>
      <c r="H294" s="15" t="s">
        <v>19</v>
      </c>
      <c r="I294" s="12"/>
      <c r="J294" s="16"/>
      <c r="K294" s="14" t="s">
        <v>31</v>
      </c>
    </row>
    <row r="295" ht="15.75" customHeight="1">
      <c r="A295" s="9" t="s">
        <v>324</v>
      </c>
      <c r="B295" s="9">
        <v>1887.0</v>
      </c>
      <c r="C295" s="9">
        <v>1912.0</v>
      </c>
      <c r="D295" s="10">
        <v>25.0</v>
      </c>
      <c r="E295" s="11" t="s">
        <v>11</v>
      </c>
      <c r="F295" s="9" t="s">
        <v>26</v>
      </c>
      <c r="G295" s="9" t="s">
        <v>22</v>
      </c>
      <c r="H295" s="15" t="s">
        <v>19</v>
      </c>
      <c r="I295" s="9" t="s">
        <v>27</v>
      </c>
      <c r="J295" s="13">
        <v>0.0</v>
      </c>
      <c r="K295" s="14" t="s">
        <v>24</v>
      </c>
    </row>
    <row r="296" ht="15.75" customHeight="1">
      <c r="A296" s="9" t="s">
        <v>325</v>
      </c>
      <c r="B296" s="9">
        <v>1883.0</v>
      </c>
      <c r="C296" s="9">
        <v>1912.0</v>
      </c>
      <c r="D296" s="10">
        <v>29.0</v>
      </c>
      <c r="E296" s="11" t="s">
        <v>11</v>
      </c>
      <c r="F296" s="9" t="s">
        <v>26</v>
      </c>
      <c r="G296" s="9" t="s">
        <v>22</v>
      </c>
      <c r="H296" s="15" t="s">
        <v>19</v>
      </c>
      <c r="I296" s="9" t="s">
        <v>40</v>
      </c>
      <c r="J296" s="16"/>
      <c r="K296" s="14" t="s">
        <v>24</v>
      </c>
    </row>
    <row r="297" ht="15.75" customHeight="1">
      <c r="A297" s="9" t="s">
        <v>326</v>
      </c>
      <c r="B297" s="9">
        <v>1907.0</v>
      </c>
      <c r="C297" s="9">
        <v>1912.0</v>
      </c>
      <c r="D297" s="10">
        <v>5.0</v>
      </c>
      <c r="E297" s="11" t="s">
        <v>11</v>
      </c>
      <c r="G297" s="9" t="s">
        <v>18</v>
      </c>
      <c r="H297" s="15" t="s">
        <v>19</v>
      </c>
      <c r="J297" s="16"/>
      <c r="K297" s="14" t="s">
        <v>31</v>
      </c>
    </row>
    <row r="298" ht="15.75" customHeight="1">
      <c r="A298" s="9" t="s">
        <v>327</v>
      </c>
      <c r="B298" s="9">
        <v>1885.0</v>
      </c>
      <c r="C298" s="9">
        <v>1938.0</v>
      </c>
      <c r="D298" s="10">
        <v>27.0</v>
      </c>
      <c r="E298" s="17" t="s">
        <v>30</v>
      </c>
      <c r="F298" s="9" t="s">
        <v>26</v>
      </c>
      <c r="G298" s="9" t="s">
        <v>12</v>
      </c>
      <c r="H298" s="9" t="s">
        <v>13</v>
      </c>
      <c r="I298" s="12"/>
      <c r="J298" s="13">
        <v>0.0</v>
      </c>
      <c r="K298" s="14" t="s">
        <v>24</v>
      </c>
    </row>
    <row r="299" ht="15.75" customHeight="1">
      <c r="A299" s="9" t="s">
        <v>328</v>
      </c>
      <c r="B299" s="9">
        <v>1840.0</v>
      </c>
      <c r="C299" s="9">
        <v>1912.0</v>
      </c>
      <c r="D299" s="10">
        <v>72.0</v>
      </c>
      <c r="E299" s="17" t="s">
        <v>30</v>
      </c>
      <c r="F299" s="9" t="s">
        <v>26</v>
      </c>
      <c r="G299" s="9" t="s">
        <v>33</v>
      </c>
      <c r="H299" s="15" t="s">
        <v>19</v>
      </c>
      <c r="I299" s="12"/>
      <c r="J299" s="16"/>
      <c r="K299" s="14" t="s">
        <v>20</v>
      </c>
    </row>
    <row r="300" ht="15.75" customHeight="1">
      <c r="A300" s="9" t="s">
        <v>329</v>
      </c>
      <c r="B300" s="9">
        <v>1866.0</v>
      </c>
      <c r="C300" s="9">
        <v>1912.0</v>
      </c>
      <c r="D300" s="10">
        <v>46.0</v>
      </c>
      <c r="E300" s="11" t="s">
        <v>11</v>
      </c>
      <c r="F300" s="9" t="s">
        <v>16</v>
      </c>
      <c r="G300" s="9" t="s">
        <v>22</v>
      </c>
      <c r="H300" s="15" t="s">
        <v>19</v>
      </c>
      <c r="I300" s="9" t="s">
        <v>27</v>
      </c>
      <c r="J300" s="13">
        <v>0.0</v>
      </c>
      <c r="K300" s="14" t="s">
        <v>14</v>
      </c>
    </row>
    <row r="301" ht="15.75" customHeight="1">
      <c r="A301" s="9" t="s">
        <v>330</v>
      </c>
      <c r="B301" s="9">
        <v>1910.0</v>
      </c>
      <c r="C301" s="9">
        <v>1912.0</v>
      </c>
      <c r="D301" s="10">
        <v>2.0</v>
      </c>
      <c r="E301" s="11" t="s">
        <v>11</v>
      </c>
      <c r="F301" s="9" t="s">
        <v>26</v>
      </c>
      <c r="G301" s="9" t="s">
        <v>33</v>
      </c>
      <c r="H301" s="15" t="s">
        <v>19</v>
      </c>
      <c r="J301" s="13">
        <v>0.0</v>
      </c>
      <c r="K301" s="14" t="s">
        <v>31</v>
      </c>
    </row>
    <row r="302" ht="15.75" customHeight="1">
      <c r="A302" s="9" t="s">
        <v>331</v>
      </c>
      <c r="B302" s="9">
        <v>1863.0</v>
      </c>
      <c r="C302" s="9">
        <v>1947.0</v>
      </c>
      <c r="D302" s="10">
        <v>49.0</v>
      </c>
      <c r="E302" s="17" t="s">
        <v>30</v>
      </c>
      <c r="F302" s="9" t="s">
        <v>47</v>
      </c>
      <c r="G302" s="9" t="s">
        <v>33</v>
      </c>
      <c r="H302" s="9" t="s">
        <v>13</v>
      </c>
      <c r="I302" s="12"/>
      <c r="J302" s="13">
        <v>0.0</v>
      </c>
      <c r="K302" s="14" t="s">
        <v>14</v>
      </c>
    </row>
    <row r="303" ht="15.75" customHeight="1">
      <c r="A303" s="9" t="s">
        <v>332</v>
      </c>
      <c r="B303" s="9">
        <v>1888.0</v>
      </c>
      <c r="C303" s="9">
        <v>1912.0</v>
      </c>
      <c r="D303" s="10">
        <v>24.0</v>
      </c>
      <c r="E303" s="11" t="s">
        <v>11</v>
      </c>
      <c r="F303" s="9" t="s">
        <v>16</v>
      </c>
      <c r="G303" s="9" t="s">
        <v>18</v>
      </c>
      <c r="H303" s="15" t="s">
        <v>19</v>
      </c>
      <c r="I303" s="12"/>
      <c r="J303" s="13">
        <v>0.0</v>
      </c>
      <c r="K303" s="14" t="s">
        <v>24</v>
      </c>
    </row>
    <row r="304" ht="15.75" customHeight="1">
      <c r="A304" s="9" t="s">
        <v>333</v>
      </c>
      <c r="B304" s="9">
        <v>1908.0</v>
      </c>
      <c r="C304" s="9">
        <v>1947.0</v>
      </c>
      <c r="D304" s="10">
        <v>4.0</v>
      </c>
      <c r="E304" s="17" t="s">
        <v>30</v>
      </c>
      <c r="F304" s="9" t="s">
        <v>16</v>
      </c>
      <c r="G304" s="9" t="s">
        <v>33</v>
      </c>
      <c r="H304" s="9" t="s">
        <v>13</v>
      </c>
      <c r="I304" s="12"/>
      <c r="J304" s="16"/>
      <c r="K304" s="14" t="s">
        <v>31</v>
      </c>
    </row>
    <row r="305" ht="15.75" customHeight="1">
      <c r="A305" s="9" t="s">
        <v>334</v>
      </c>
      <c r="B305" s="9">
        <v>1879.0</v>
      </c>
      <c r="C305" s="9">
        <v>1912.0</v>
      </c>
      <c r="D305" s="10">
        <v>33.0</v>
      </c>
      <c r="E305" s="11" t="s">
        <v>11</v>
      </c>
      <c r="G305" s="9" t="s">
        <v>33</v>
      </c>
      <c r="H305" s="15" t="s">
        <v>19</v>
      </c>
      <c r="I305" s="12"/>
      <c r="J305" s="16"/>
      <c r="K305" s="14" t="s">
        <v>24</v>
      </c>
    </row>
    <row r="306" ht="15.75" customHeight="1">
      <c r="A306" s="9" t="s">
        <v>335</v>
      </c>
      <c r="B306" s="9">
        <v>1862.0</v>
      </c>
      <c r="C306" s="9">
        <v>1912.0</v>
      </c>
      <c r="D306" s="10">
        <v>50.0</v>
      </c>
      <c r="E306" s="11" t="s">
        <v>11</v>
      </c>
      <c r="F306" s="9" t="s">
        <v>26</v>
      </c>
      <c r="G306" s="9" t="s">
        <v>22</v>
      </c>
      <c r="H306" s="15" t="s">
        <v>19</v>
      </c>
      <c r="I306" s="9" t="s">
        <v>35</v>
      </c>
      <c r="J306" s="16"/>
      <c r="K306" s="14" t="s">
        <v>14</v>
      </c>
    </row>
    <row r="307" ht="15.75" customHeight="1">
      <c r="A307" s="9" t="s">
        <v>336</v>
      </c>
      <c r="B307" s="9">
        <v>1869.0</v>
      </c>
      <c r="C307" s="9">
        <v>1913.0</v>
      </c>
      <c r="D307" s="10">
        <v>43.0</v>
      </c>
      <c r="E307" s="17" t="s">
        <v>30</v>
      </c>
      <c r="F307" s="9" t="s">
        <v>26</v>
      </c>
      <c r="G307" s="9" t="s">
        <v>12</v>
      </c>
      <c r="H307" s="9" t="s">
        <v>13</v>
      </c>
      <c r="I307" s="12"/>
      <c r="J307" s="13">
        <v>0.0</v>
      </c>
      <c r="K307" s="14" t="s">
        <v>14</v>
      </c>
    </row>
    <row r="308" ht="15.75" customHeight="1">
      <c r="A308" s="9" t="s">
        <v>337</v>
      </c>
      <c r="B308" s="9">
        <v>1849.0</v>
      </c>
      <c r="C308" s="9">
        <v>1955.0</v>
      </c>
      <c r="D308" s="10">
        <v>63.0</v>
      </c>
      <c r="E308" s="17" t="s">
        <v>30</v>
      </c>
      <c r="F308" s="9" t="s">
        <v>16</v>
      </c>
      <c r="G308" s="9" t="s">
        <v>12</v>
      </c>
      <c r="H308" s="9" t="s">
        <v>13</v>
      </c>
      <c r="J308" s="13">
        <v>0.0</v>
      </c>
      <c r="K308" s="14" t="s">
        <v>20</v>
      </c>
    </row>
    <row r="309" ht="15.75" customHeight="1">
      <c r="A309" s="9" t="s">
        <v>338</v>
      </c>
      <c r="B309" s="9">
        <v>1842.0</v>
      </c>
      <c r="C309" s="9">
        <v>1949.0</v>
      </c>
      <c r="D309" s="10">
        <v>70.0</v>
      </c>
      <c r="E309" s="17" t="s">
        <v>30</v>
      </c>
      <c r="F309" s="9" t="s">
        <v>26</v>
      </c>
      <c r="G309" s="9" t="s">
        <v>12</v>
      </c>
      <c r="H309" s="9" t="s">
        <v>13</v>
      </c>
      <c r="I309" s="12"/>
      <c r="J309" s="16"/>
      <c r="K309" s="14" t="s">
        <v>20</v>
      </c>
    </row>
    <row r="310" ht="15.75" customHeight="1">
      <c r="A310" s="9" t="s">
        <v>339</v>
      </c>
      <c r="B310" s="9">
        <v>1896.0</v>
      </c>
      <c r="C310" s="9">
        <v>1974.0</v>
      </c>
      <c r="D310" s="10">
        <v>16.0</v>
      </c>
      <c r="E310" s="17" t="s">
        <v>30</v>
      </c>
      <c r="F310" s="9" t="s">
        <v>16</v>
      </c>
      <c r="G310" s="9" t="s">
        <v>22</v>
      </c>
      <c r="H310" s="9" t="s">
        <v>13</v>
      </c>
      <c r="I310" s="9" t="s">
        <v>27</v>
      </c>
      <c r="J310" s="16"/>
      <c r="K310" s="14" t="s">
        <v>31</v>
      </c>
    </row>
    <row r="311" ht="15.75" customHeight="1">
      <c r="A311" s="9" t="s">
        <v>340</v>
      </c>
      <c r="B311" s="9">
        <v>1881.0</v>
      </c>
      <c r="C311" s="9">
        <v>1912.0</v>
      </c>
      <c r="D311" s="10">
        <v>31.0</v>
      </c>
      <c r="E311" s="11" t="s">
        <v>11</v>
      </c>
      <c r="F311" s="9" t="s">
        <v>26</v>
      </c>
      <c r="G311" s="9" t="s">
        <v>22</v>
      </c>
      <c r="H311" s="15" t="s">
        <v>19</v>
      </c>
      <c r="I311" s="9" t="s">
        <v>40</v>
      </c>
      <c r="J311" s="16"/>
      <c r="K311" s="14" t="s">
        <v>24</v>
      </c>
    </row>
    <row r="312" ht="15.75" customHeight="1">
      <c r="A312" s="9" t="s">
        <v>341</v>
      </c>
      <c r="B312" s="9">
        <v>1895.0</v>
      </c>
      <c r="C312" s="9">
        <v>1912.0</v>
      </c>
      <c r="D312" s="10">
        <v>17.0</v>
      </c>
      <c r="E312" s="11" t="s">
        <v>11</v>
      </c>
      <c r="F312" s="9" t="s">
        <v>26</v>
      </c>
      <c r="G312" s="9" t="s">
        <v>22</v>
      </c>
      <c r="H312" s="15" t="s">
        <v>19</v>
      </c>
      <c r="I312" s="9" t="s">
        <v>40</v>
      </c>
      <c r="J312" s="16"/>
      <c r="K312" s="14" t="s">
        <v>31</v>
      </c>
    </row>
    <row r="313" ht="15.75" customHeight="1">
      <c r="A313" s="9" t="s">
        <v>342</v>
      </c>
      <c r="B313" s="9">
        <v>1854.0</v>
      </c>
      <c r="C313" s="9">
        <v>1912.0</v>
      </c>
      <c r="D313" s="10">
        <v>58.0</v>
      </c>
      <c r="E313" s="11" t="s">
        <v>11</v>
      </c>
      <c r="F313" s="9" t="s">
        <v>16</v>
      </c>
      <c r="G313" s="9" t="s">
        <v>22</v>
      </c>
      <c r="H313" s="15" t="s">
        <v>19</v>
      </c>
      <c r="I313" s="9" t="s">
        <v>40</v>
      </c>
      <c r="J313" s="13">
        <v>0.0</v>
      </c>
      <c r="K313" s="14" t="s">
        <v>14</v>
      </c>
    </row>
    <row r="314" ht="15.75" customHeight="1">
      <c r="A314" s="9" t="s">
        <v>343</v>
      </c>
      <c r="B314" s="9">
        <v>1871.0</v>
      </c>
      <c r="C314" s="9">
        <v>1912.0</v>
      </c>
      <c r="D314" s="10">
        <v>41.0</v>
      </c>
      <c r="E314" s="11" t="s">
        <v>11</v>
      </c>
      <c r="F314" s="9" t="s">
        <v>16</v>
      </c>
      <c r="G314" s="9" t="s">
        <v>33</v>
      </c>
      <c r="H314" s="15" t="s">
        <v>19</v>
      </c>
      <c r="I314" s="12"/>
      <c r="J314" s="16"/>
      <c r="K314" s="14" t="s">
        <v>14</v>
      </c>
    </row>
    <row r="315" ht="15.75" customHeight="1">
      <c r="A315" s="9" t="s">
        <v>344</v>
      </c>
      <c r="B315" s="9">
        <v>1910.0</v>
      </c>
      <c r="C315" s="9">
        <v>1963.0</v>
      </c>
      <c r="D315" s="10">
        <v>2.0</v>
      </c>
      <c r="E315" s="17" t="s">
        <v>30</v>
      </c>
      <c r="F315" s="9" t="s">
        <v>16</v>
      </c>
      <c r="G315" s="9" t="s">
        <v>12</v>
      </c>
      <c r="H315" s="9" t="s">
        <v>13</v>
      </c>
      <c r="I315" s="12"/>
      <c r="J315" s="13">
        <v>0.0</v>
      </c>
      <c r="K315" s="14" t="s">
        <v>31</v>
      </c>
    </row>
    <row r="316" ht="15.75" customHeight="1">
      <c r="A316" s="9" t="s">
        <v>345</v>
      </c>
      <c r="B316" s="9">
        <v>1881.0</v>
      </c>
      <c r="C316" s="9">
        <v>1965.0</v>
      </c>
      <c r="D316" s="10">
        <v>31.0</v>
      </c>
      <c r="E316" s="17" t="s">
        <v>30</v>
      </c>
      <c r="F316" s="9" t="s">
        <v>26</v>
      </c>
      <c r="G316" s="9" t="s">
        <v>12</v>
      </c>
      <c r="H316" s="9" t="s">
        <v>13</v>
      </c>
      <c r="I316" s="12"/>
      <c r="J316" s="13">
        <v>0.0</v>
      </c>
      <c r="K316" s="14" t="s">
        <v>24</v>
      </c>
    </row>
    <row r="317" ht="15.75" customHeight="1">
      <c r="A317" s="9" t="s">
        <v>346</v>
      </c>
      <c r="B317" s="9">
        <v>1866.0</v>
      </c>
      <c r="C317" s="9">
        <v>1921.0</v>
      </c>
      <c r="D317" s="10">
        <v>46.0</v>
      </c>
      <c r="E317" s="11" t="s">
        <v>11</v>
      </c>
      <c r="F317" s="9" t="s">
        <v>16</v>
      </c>
      <c r="G317" s="9" t="s">
        <v>22</v>
      </c>
      <c r="H317" s="9" t="s">
        <v>13</v>
      </c>
      <c r="I317" s="9" t="s">
        <v>27</v>
      </c>
      <c r="J317" s="13">
        <v>0.0</v>
      </c>
      <c r="K317" s="14" t="s">
        <v>14</v>
      </c>
    </row>
    <row r="318" ht="15.75" customHeight="1">
      <c r="A318" s="9" t="s">
        <v>347</v>
      </c>
      <c r="B318" s="9">
        <v>1898.0</v>
      </c>
      <c r="C318" s="9">
        <v>1912.0</v>
      </c>
      <c r="D318" s="10">
        <v>14.0</v>
      </c>
      <c r="E318" s="11" t="s">
        <v>11</v>
      </c>
      <c r="G318" s="9" t="s">
        <v>33</v>
      </c>
      <c r="H318" s="15" t="s">
        <v>19</v>
      </c>
      <c r="I318" s="12"/>
      <c r="J318" s="16"/>
      <c r="K318" s="14" t="s">
        <v>31</v>
      </c>
    </row>
    <row r="319" ht="15.75" customHeight="1">
      <c r="A319" s="9" t="s">
        <v>348</v>
      </c>
      <c r="B319" s="9">
        <v>1883.0</v>
      </c>
      <c r="C319" s="9">
        <v>1912.0</v>
      </c>
      <c r="D319" s="10">
        <v>29.0</v>
      </c>
      <c r="E319" s="11" t="s">
        <v>11</v>
      </c>
      <c r="F319" s="9" t="s">
        <v>26</v>
      </c>
      <c r="G319" s="9" t="s">
        <v>22</v>
      </c>
      <c r="H319" s="15" t="s">
        <v>19</v>
      </c>
      <c r="I319" s="9" t="s">
        <v>35</v>
      </c>
      <c r="J319" s="16"/>
      <c r="K319" s="14" t="s">
        <v>24</v>
      </c>
    </row>
    <row r="320" ht="15.75" customHeight="1">
      <c r="A320" s="9" t="s">
        <v>349</v>
      </c>
      <c r="B320" s="9">
        <v>1864.0</v>
      </c>
      <c r="C320" s="9">
        <v>1943.0</v>
      </c>
      <c r="D320" s="10">
        <v>48.0</v>
      </c>
      <c r="E320" s="11" t="s">
        <v>11</v>
      </c>
      <c r="F320" s="9" t="s">
        <v>26</v>
      </c>
      <c r="G320" s="9" t="s">
        <v>33</v>
      </c>
      <c r="H320" s="9" t="s">
        <v>13</v>
      </c>
      <c r="J320" s="16"/>
      <c r="K320" s="14" t="s">
        <v>14</v>
      </c>
    </row>
    <row r="321" ht="15.75" customHeight="1">
      <c r="A321" s="9" t="s">
        <v>350</v>
      </c>
      <c r="B321" s="9">
        <v>1850.0</v>
      </c>
      <c r="C321" s="9">
        <v>1912.0</v>
      </c>
      <c r="D321" s="10">
        <v>62.0</v>
      </c>
      <c r="E321" s="11" t="s">
        <v>11</v>
      </c>
      <c r="F321" s="9" t="s">
        <v>16</v>
      </c>
      <c r="G321" s="9" t="s">
        <v>33</v>
      </c>
      <c r="H321" s="15" t="s">
        <v>19</v>
      </c>
      <c r="I321" s="12"/>
      <c r="J321" s="16"/>
      <c r="K321" s="14" t="s">
        <v>20</v>
      </c>
    </row>
    <row r="322" ht="15.75" customHeight="1">
      <c r="A322" s="9" t="s">
        <v>351</v>
      </c>
      <c r="B322" s="9">
        <v>1844.0</v>
      </c>
      <c r="C322" s="9">
        <v>1912.0</v>
      </c>
      <c r="D322" s="10">
        <v>68.0</v>
      </c>
      <c r="E322" s="11" t="s">
        <v>11</v>
      </c>
      <c r="F322" s="9" t="s">
        <v>26</v>
      </c>
      <c r="G322" s="9" t="s">
        <v>22</v>
      </c>
      <c r="H322" s="15" t="s">
        <v>19</v>
      </c>
      <c r="I322" s="9" t="s">
        <v>35</v>
      </c>
      <c r="J322" s="16"/>
      <c r="K322" s="14" t="s">
        <v>20</v>
      </c>
    </row>
    <row r="323" ht="15.75" customHeight="1">
      <c r="A323" s="9" t="s">
        <v>352</v>
      </c>
      <c r="B323" s="9">
        <v>1881.0</v>
      </c>
      <c r="C323" s="9">
        <v>1912.0</v>
      </c>
      <c r="D323" s="10">
        <v>31.0</v>
      </c>
      <c r="E323" s="11" t="s">
        <v>11</v>
      </c>
      <c r="F323" s="9" t="s">
        <v>26</v>
      </c>
      <c r="G323" s="9" t="s">
        <v>22</v>
      </c>
      <c r="H323" s="15" t="s">
        <v>19</v>
      </c>
      <c r="I323" s="9" t="s">
        <v>40</v>
      </c>
      <c r="J323" s="16"/>
      <c r="K323" s="14" t="s">
        <v>24</v>
      </c>
    </row>
    <row r="324" ht="15.75" customHeight="1">
      <c r="A324" s="9" t="s">
        <v>353</v>
      </c>
      <c r="B324" s="9">
        <v>1895.0</v>
      </c>
      <c r="C324" s="9">
        <v>1912.0</v>
      </c>
      <c r="D324" s="10">
        <v>17.0</v>
      </c>
      <c r="E324" s="11" t="s">
        <v>11</v>
      </c>
      <c r="F324" s="9" t="s">
        <v>16</v>
      </c>
      <c r="G324" s="9" t="s">
        <v>22</v>
      </c>
      <c r="H324" s="15" t="s">
        <v>19</v>
      </c>
      <c r="I324" s="9" t="s">
        <v>27</v>
      </c>
      <c r="J324" s="16"/>
      <c r="K324" s="14" t="s">
        <v>31</v>
      </c>
    </row>
    <row r="325" ht="15.75" customHeight="1">
      <c r="A325" s="9" t="s">
        <v>354</v>
      </c>
      <c r="B325" s="9">
        <v>1882.0</v>
      </c>
      <c r="C325" s="9">
        <v>1912.0</v>
      </c>
      <c r="D325" s="10">
        <v>30.0</v>
      </c>
      <c r="E325" s="11" t="s">
        <v>11</v>
      </c>
      <c r="F325" s="9" t="s">
        <v>26</v>
      </c>
      <c r="G325" s="9" t="s">
        <v>22</v>
      </c>
      <c r="H325" s="15" t="s">
        <v>19</v>
      </c>
      <c r="I325" s="9" t="s">
        <v>27</v>
      </c>
      <c r="J325" s="16"/>
      <c r="K325" s="14" t="s">
        <v>24</v>
      </c>
    </row>
    <row r="326" ht="15.75" customHeight="1">
      <c r="A326" s="9" t="s">
        <v>355</v>
      </c>
      <c r="B326" s="9">
        <v>1869.0</v>
      </c>
      <c r="C326" s="9">
        <v>1912.0</v>
      </c>
      <c r="D326" s="10">
        <v>43.0</v>
      </c>
      <c r="E326" s="11" t="s">
        <v>11</v>
      </c>
      <c r="G326" s="9" t="s">
        <v>33</v>
      </c>
      <c r="H326" s="15" t="s">
        <v>19</v>
      </c>
      <c r="I326" s="12"/>
      <c r="J326" s="13">
        <v>0.0</v>
      </c>
      <c r="K326" s="14" t="s">
        <v>14</v>
      </c>
    </row>
    <row r="327" ht="15.75" customHeight="1">
      <c r="A327" s="9" t="s">
        <v>356</v>
      </c>
      <c r="B327" s="9">
        <v>1852.0</v>
      </c>
      <c r="C327" s="9">
        <v>1948.0</v>
      </c>
      <c r="D327" s="10">
        <v>60.0</v>
      </c>
      <c r="E327" s="11" t="s">
        <v>11</v>
      </c>
      <c r="F327" s="9" t="s">
        <v>16</v>
      </c>
      <c r="G327" s="9" t="s">
        <v>18</v>
      </c>
      <c r="H327" s="9" t="s">
        <v>13</v>
      </c>
      <c r="I327" s="12"/>
      <c r="J327" s="13">
        <v>0.0</v>
      </c>
      <c r="K327" s="14" t="s">
        <v>20</v>
      </c>
    </row>
    <row r="328" ht="15.75" customHeight="1">
      <c r="A328" s="9" t="s">
        <v>357</v>
      </c>
      <c r="B328" s="9">
        <v>1866.0</v>
      </c>
      <c r="C328" s="9">
        <v>1912.0</v>
      </c>
      <c r="D328" s="10">
        <v>46.0</v>
      </c>
      <c r="E328" s="11" t="s">
        <v>11</v>
      </c>
      <c r="F328" s="9" t="s">
        <v>16</v>
      </c>
      <c r="G328" s="9" t="s">
        <v>33</v>
      </c>
      <c r="H328" s="15" t="s">
        <v>19</v>
      </c>
      <c r="I328" s="12"/>
      <c r="J328" s="13">
        <v>0.0</v>
      </c>
      <c r="K328" s="14" t="s">
        <v>14</v>
      </c>
    </row>
    <row r="329" ht="15.75" customHeight="1">
      <c r="A329" s="9" t="s">
        <v>358</v>
      </c>
      <c r="B329" s="9">
        <v>1848.0</v>
      </c>
      <c r="C329" s="9">
        <v>1969.0</v>
      </c>
      <c r="D329" s="10">
        <v>64.0</v>
      </c>
      <c r="E329" s="17" t="s">
        <v>30</v>
      </c>
      <c r="F329" s="9" t="s">
        <v>26</v>
      </c>
      <c r="G329" s="9" t="s">
        <v>18</v>
      </c>
      <c r="H329" s="9" t="s">
        <v>13</v>
      </c>
      <c r="J329" s="13">
        <v>0.0</v>
      </c>
      <c r="K329" s="14" t="s">
        <v>20</v>
      </c>
    </row>
    <row r="330" ht="15.75" customHeight="1">
      <c r="A330" s="9" t="s">
        <v>359</v>
      </c>
      <c r="B330" s="9">
        <v>1883.0</v>
      </c>
      <c r="C330" s="9">
        <v>1912.0</v>
      </c>
      <c r="D330" s="10">
        <v>29.0</v>
      </c>
      <c r="E330" s="11" t="s">
        <v>11</v>
      </c>
      <c r="F330" s="9" t="s">
        <v>26</v>
      </c>
      <c r="G330" s="9" t="s">
        <v>33</v>
      </c>
      <c r="H330" s="15" t="s">
        <v>19</v>
      </c>
      <c r="J330" s="13">
        <v>0.0</v>
      </c>
      <c r="K330" s="14" t="s">
        <v>24</v>
      </c>
    </row>
    <row r="331" ht="15.75" customHeight="1">
      <c r="A331" s="9" t="s">
        <v>360</v>
      </c>
      <c r="B331" s="9">
        <v>1849.0</v>
      </c>
      <c r="C331" s="9">
        <v>1912.0</v>
      </c>
      <c r="D331" s="10">
        <v>63.0</v>
      </c>
      <c r="E331" s="11" t="s">
        <v>11</v>
      </c>
      <c r="F331" s="9" t="s">
        <v>26</v>
      </c>
      <c r="G331" s="9" t="s">
        <v>22</v>
      </c>
      <c r="H331" s="15" t="s">
        <v>19</v>
      </c>
      <c r="I331" s="9" t="s">
        <v>40</v>
      </c>
      <c r="J331" s="16"/>
      <c r="K331" s="14" t="s">
        <v>20</v>
      </c>
    </row>
    <row r="332" ht="15.75" customHeight="1">
      <c r="A332" s="9" t="s">
        <v>361</v>
      </c>
      <c r="B332" s="9">
        <v>1892.0</v>
      </c>
      <c r="C332" s="9">
        <v>1912.0</v>
      </c>
      <c r="D332" s="10">
        <v>20.0</v>
      </c>
      <c r="E332" s="11" t="s">
        <v>11</v>
      </c>
      <c r="G332" s="9" t="s">
        <v>33</v>
      </c>
      <c r="H332" s="15" t="s">
        <v>19</v>
      </c>
      <c r="I332" s="12"/>
      <c r="J332" s="16"/>
      <c r="K332" s="14" t="s">
        <v>24</v>
      </c>
    </row>
    <row r="333" ht="15.75" customHeight="1">
      <c r="A333" s="9" t="s">
        <v>362</v>
      </c>
      <c r="B333" s="9">
        <v>1883.0</v>
      </c>
      <c r="C333" s="9">
        <v>1912.0</v>
      </c>
      <c r="D333" s="10">
        <v>29.0</v>
      </c>
      <c r="E333" s="11" t="s">
        <v>11</v>
      </c>
      <c r="F333" s="9" t="s">
        <v>16</v>
      </c>
      <c r="G333" s="9" t="s">
        <v>33</v>
      </c>
      <c r="H333" s="15" t="s">
        <v>19</v>
      </c>
      <c r="J333" s="16"/>
      <c r="K333" s="14" t="s">
        <v>24</v>
      </c>
    </row>
    <row r="334" ht="15.75" customHeight="1">
      <c r="A334" s="9" t="s">
        <v>363</v>
      </c>
      <c r="B334" s="9">
        <v>1876.0</v>
      </c>
      <c r="C334" s="9">
        <v>1912.0</v>
      </c>
      <c r="D334" s="10">
        <v>36.0</v>
      </c>
      <c r="E334" s="11" t="s">
        <v>11</v>
      </c>
      <c r="G334" s="9" t="s">
        <v>22</v>
      </c>
      <c r="H334" s="15" t="s">
        <v>19</v>
      </c>
      <c r="I334" s="9" t="s">
        <v>27</v>
      </c>
      <c r="J334" s="16"/>
      <c r="K334" s="14" t="s">
        <v>24</v>
      </c>
    </row>
    <row r="335" ht="15.75" customHeight="1">
      <c r="A335" s="9" t="s">
        <v>364</v>
      </c>
      <c r="B335" s="9">
        <v>1844.0</v>
      </c>
      <c r="C335" s="9">
        <v>1912.0</v>
      </c>
      <c r="D335" s="10">
        <v>68.0</v>
      </c>
      <c r="E335" s="11" t="s">
        <v>11</v>
      </c>
      <c r="F335" s="9" t="s">
        <v>26</v>
      </c>
      <c r="G335" s="9" t="s">
        <v>22</v>
      </c>
      <c r="H335" s="15" t="s">
        <v>19</v>
      </c>
      <c r="I335" s="9" t="s">
        <v>40</v>
      </c>
      <c r="J335" s="16"/>
      <c r="K335" s="14" t="s">
        <v>20</v>
      </c>
    </row>
    <row r="336" ht="15.75" customHeight="1">
      <c r="A336" s="9" t="s">
        <v>365</v>
      </c>
      <c r="B336" s="9">
        <v>1894.0</v>
      </c>
      <c r="C336" s="9">
        <v>1912.0</v>
      </c>
      <c r="D336" s="10">
        <v>18.0</v>
      </c>
      <c r="E336" s="11" t="s">
        <v>11</v>
      </c>
      <c r="F336" s="9" t="s">
        <v>16</v>
      </c>
      <c r="G336" s="9" t="s">
        <v>22</v>
      </c>
      <c r="H336" s="15" t="s">
        <v>19</v>
      </c>
      <c r="I336" s="9" t="s">
        <v>27</v>
      </c>
      <c r="J336" s="16"/>
      <c r="K336" s="14" t="s">
        <v>31</v>
      </c>
    </row>
    <row r="337" ht="15.75" customHeight="1">
      <c r="A337" s="9" t="s">
        <v>366</v>
      </c>
      <c r="B337" s="9">
        <v>1874.0</v>
      </c>
      <c r="C337" s="9">
        <v>1967.0</v>
      </c>
      <c r="D337" s="10">
        <v>38.0</v>
      </c>
      <c r="E337" s="17" t="s">
        <v>30</v>
      </c>
      <c r="F337" s="9" t="s">
        <v>16</v>
      </c>
      <c r="G337" s="9" t="s">
        <v>33</v>
      </c>
      <c r="H337" s="9" t="s">
        <v>13</v>
      </c>
      <c r="I337" s="12"/>
      <c r="J337" s="13">
        <v>0.0</v>
      </c>
      <c r="K337" s="14" t="s">
        <v>24</v>
      </c>
    </row>
    <row r="338" ht="15.75" customHeight="1">
      <c r="A338" s="9" t="s">
        <v>367</v>
      </c>
      <c r="B338" s="9">
        <v>1880.0</v>
      </c>
      <c r="C338" s="9">
        <v>1912.0</v>
      </c>
      <c r="D338" s="10">
        <v>32.0</v>
      </c>
      <c r="E338" s="11" t="s">
        <v>11</v>
      </c>
      <c r="F338" s="9" t="s">
        <v>26</v>
      </c>
      <c r="G338" s="9" t="s">
        <v>22</v>
      </c>
      <c r="H338" s="15" t="s">
        <v>19</v>
      </c>
      <c r="I338" s="9" t="s">
        <v>27</v>
      </c>
      <c r="J338" s="13">
        <v>0.0</v>
      </c>
      <c r="K338" s="14" t="s">
        <v>24</v>
      </c>
    </row>
    <row r="339" ht="15.75" customHeight="1">
      <c r="A339" s="9" t="s">
        <v>368</v>
      </c>
      <c r="B339" s="9">
        <v>1840.0</v>
      </c>
      <c r="C339" s="9">
        <v>1917.0</v>
      </c>
      <c r="D339" s="10">
        <v>72.0</v>
      </c>
      <c r="E339" s="11" t="s">
        <v>11</v>
      </c>
      <c r="F339" s="9" t="s">
        <v>16</v>
      </c>
      <c r="G339" s="9" t="s">
        <v>22</v>
      </c>
      <c r="H339" s="9" t="s">
        <v>13</v>
      </c>
      <c r="I339" s="9" t="s">
        <v>23</v>
      </c>
      <c r="J339" s="13">
        <v>0.0</v>
      </c>
      <c r="K339" s="14" t="s">
        <v>20</v>
      </c>
    </row>
    <row r="340" ht="15.75" customHeight="1">
      <c r="A340" s="9" t="s">
        <v>369</v>
      </c>
      <c r="B340" s="9">
        <v>1859.0</v>
      </c>
      <c r="C340" s="9">
        <v>1912.0</v>
      </c>
      <c r="D340" s="10">
        <v>53.0</v>
      </c>
      <c r="E340" s="11" t="s">
        <v>11</v>
      </c>
      <c r="F340" s="9" t="s">
        <v>16</v>
      </c>
      <c r="G340" s="9" t="s">
        <v>22</v>
      </c>
      <c r="H340" s="15" t="s">
        <v>19</v>
      </c>
      <c r="I340" s="9" t="s">
        <v>27</v>
      </c>
      <c r="J340" s="16"/>
      <c r="K340" s="14" t="s">
        <v>14</v>
      </c>
    </row>
    <row r="341" ht="15.75" customHeight="1">
      <c r="A341" s="9" t="s">
        <v>370</v>
      </c>
      <c r="B341" s="9">
        <v>1901.0</v>
      </c>
      <c r="C341" s="9">
        <v>1912.0</v>
      </c>
      <c r="D341" s="10">
        <v>11.0</v>
      </c>
      <c r="E341" s="17" t="s">
        <v>30</v>
      </c>
      <c r="F341" s="9" t="s">
        <v>26</v>
      </c>
      <c r="G341" s="9" t="s">
        <v>33</v>
      </c>
      <c r="H341" s="15" t="s">
        <v>19</v>
      </c>
      <c r="I341" s="12"/>
      <c r="J341" s="13">
        <v>0.0</v>
      </c>
      <c r="K341" s="14" t="s">
        <v>31</v>
      </c>
    </row>
    <row r="342" ht="15.75" customHeight="1">
      <c r="A342" s="9" t="s">
        <v>371</v>
      </c>
      <c r="B342" s="9">
        <v>1850.0</v>
      </c>
      <c r="C342" s="9">
        <v>1983.0</v>
      </c>
      <c r="D342" s="10">
        <v>62.0</v>
      </c>
      <c r="E342" s="11" t="s">
        <v>11</v>
      </c>
      <c r="G342" s="9" t="s">
        <v>33</v>
      </c>
      <c r="H342" s="9" t="s">
        <v>13</v>
      </c>
      <c r="I342" s="12"/>
      <c r="J342" s="13">
        <v>0.0</v>
      </c>
      <c r="K342" s="14" t="s">
        <v>20</v>
      </c>
    </row>
    <row r="343" ht="15.75" customHeight="1">
      <c r="A343" s="9" t="s">
        <v>372</v>
      </c>
      <c r="B343" s="9">
        <v>1850.0</v>
      </c>
      <c r="C343" s="9">
        <v>1912.0</v>
      </c>
      <c r="D343" s="10">
        <v>62.0</v>
      </c>
      <c r="E343" s="11" t="s">
        <v>11</v>
      </c>
      <c r="F343" s="9" t="s">
        <v>16</v>
      </c>
      <c r="G343" s="9" t="s">
        <v>22</v>
      </c>
      <c r="H343" s="15" t="s">
        <v>19</v>
      </c>
      <c r="I343" s="9" t="s">
        <v>40</v>
      </c>
      <c r="J343" s="13">
        <v>0.0</v>
      </c>
      <c r="K343" s="14" t="s">
        <v>20</v>
      </c>
    </row>
    <row r="344" ht="15.75" customHeight="1">
      <c r="A344" s="9" t="s">
        <v>373</v>
      </c>
      <c r="B344" s="9">
        <v>1902.0</v>
      </c>
      <c r="C344" s="9">
        <v>1912.0</v>
      </c>
      <c r="D344" s="10">
        <v>10.0</v>
      </c>
      <c r="E344" s="11" t="s">
        <v>11</v>
      </c>
      <c r="G344" s="9" t="s">
        <v>33</v>
      </c>
      <c r="H344" s="15" t="s">
        <v>19</v>
      </c>
      <c r="I344" s="12"/>
      <c r="J344" s="16"/>
      <c r="K344" s="14" t="s">
        <v>31</v>
      </c>
    </row>
    <row r="345" ht="15.75" customHeight="1">
      <c r="A345" s="9" t="s">
        <v>374</v>
      </c>
      <c r="B345" s="9">
        <v>1849.0</v>
      </c>
      <c r="C345" s="9">
        <v>1912.0</v>
      </c>
      <c r="D345" s="10">
        <v>63.0</v>
      </c>
      <c r="E345" s="11" t="s">
        <v>11</v>
      </c>
      <c r="F345" s="9" t="s">
        <v>26</v>
      </c>
      <c r="G345" s="9" t="s">
        <v>22</v>
      </c>
      <c r="H345" s="15" t="s">
        <v>19</v>
      </c>
      <c r="I345" s="9" t="s">
        <v>27</v>
      </c>
      <c r="J345" s="13">
        <v>0.0</v>
      </c>
      <c r="K345" s="14" t="s">
        <v>20</v>
      </c>
    </row>
    <row r="346" ht="15.75" customHeight="1">
      <c r="A346" s="9" t="s">
        <v>375</v>
      </c>
      <c r="B346" s="9">
        <v>1869.0</v>
      </c>
      <c r="C346" s="9">
        <v>1912.0</v>
      </c>
      <c r="D346" s="10">
        <v>43.0</v>
      </c>
      <c r="E346" s="11" t="s">
        <v>11</v>
      </c>
      <c r="F346" s="9" t="s">
        <v>16</v>
      </c>
      <c r="G346" s="9" t="s">
        <v>18</v>
      </c>
      <c r="H346" s="15" t="s">
        <v>19</v>
      </c>
      <c r="J346" s="16"/>
      <c r="K346" s="14" t="s">
        <v>14</v>
      </c>
    </row>
    <row r="347" ht="15.75" customHeight="1">
      <c r="A347" s="9" t="s">
        <v>376</v>
      </c>
      <c r="B347" s="9">
        <v>1845.0</v>
      </c>
      <c r="C347" s="9">
        <v>1912.0</v>
      </c>
      <c r="D347" s="10">
        <v>67.0</v>
      </c>
      <c r="E347" s="11" t="s">
        <v>11</v>
      </c>
      <c r="G347" s="9" t="s">
        <v>22</v>
      </c>
      <c r="H347" s="15" t="s">
        <v>19</v>
      </c>
      <c r="I347" s="9" t="s">
        <v>40</v>
      </c>
      <c r="J347" s="16"/>
      <c r="K347" s="14" t="s">
        <v>20</v>
      </c>
    </row>
    <row r="348" ht="15.75" customHeight="1">
      <c r="A348" s="9" t="s">
        <v>377</v>
      </c>
      <c r="B348" s="9">
        <v>1878.0</v>
      </c>
      <c r="C348" s="9">
        <v>1965.0</v>
      </c>
      <c r="D348" s="10">
        <v>34.0</v>
      </c>
      <c r="E348" s="17" t="s">
        <v>30</v>
      </c>
      <c r="F348" s="9" t="s">
        <v>16</v>
      </c>
      <c r="G348" s="9" t="s">
        <v>18</v>
      </c>
      <c r="H348" s="9" t="s">
        <v>13</v>
      </c>
      <c r="J348" s="13">
        <v>0.0</v>
      </c>
      <c r="K348" s="14" t="s">
        <v>24</v>
      </c>
    </row>
    <row r="349" ht="15.75" customHeight="1">
      <c r="A349" s="9" t="s">
        <v>378</v>
      </c>
      <c r="B349" s="9">
        <v>1840.0</v>
      </c>
      <c r="C349" s="9">
        <v>1912.0</v>
      </c>
      <c r="D349" s="10">
        <v>72.0</v>
      </c>
      <c r="E349" s="11" t="s">
        <v>11</v>
      </c>
      <c r="F349" s="9" t="s">
        <v>16</v>
      </c>
      <c r="G349" s="9" t="s">
        <v>33</v>
      </c>
      <c r="H349" s="15" t="s">
        <v>19</v>
      </c>
      <c r="J349" s="13">
        <v>0.0</v>
      </c>
      <c r="K349" s="14" t="s">
        <v>20</v>
      </c>
    </row>
    <row r="350" ht="15.75" customHeight="1">
      <c r="A350" s="9" t="s">
        <v>379</v>
      </c>
      <c r="B350" s="9">
        <v>1855.0</v>
      </c>
      <c r="C350" s="9">
        <v>1912.0</v>
      </c>
      <c r="D350" s="10">
        <v>57.0</v>
      </c>
      <c r="E350" s="11" t="s">
        <v>11</v>
      </c>
      <c r="F350" s="9" t="s">
        <v>16</v>
      </c>
      <c r="G350" s="9" t="s">
        <v>22</v>
      </c>
      <c r="H350" s="15" t="s">
        <v>19</v>
      </c>
      <c r="I350" s="9" t="s">
        <v>40</v>
      </c>
      <c r="J350" s="13">
        <v>0.0</v>
      </c>
      <c r="K350" s="14" t="s">
        <v>14</v>
      </c>
    </row>
    <row r="351" ht="15.75" customHeight="1">
      <c r="A351" s="9" t="s">
        <v>380</v>
      </c>
      <c r="B351" s="9">
        <v>1909.0</v>
      </c>
      <c r="C351" s="9">
        <v>1997.0</v>
      </c>
      <c r="D351" s="10">
        <v>3.0</v>
      </c>
      <c r="E351" s="17" t="s">
        <v>30</v>
      </c>
      <c r="F351" s="9" t="s">
        <v>26</v>
      </c>
      <c r="G351" s="9" t="s">
        <v>18</v>
      </c>
      <c r="H351" s="9" t="s">
        <v>13</v>
      </c>
      <c r="I351" s="12"/>
      <c r="J351" s="13">
        <v>0.0</v>
      </c>
      <c r="K351" s="14" t="s">
        <v>31</v>
      </c>
    </row>
    <row r="352" ht="15.75" customHeight="1">
      <c r="A352" s="9" t="s">
        <v>381</v>
      </c>
      <c r="B352" s="9">
        <v>1841.0</v>
      </c>
      <c r="C352" s="9">
        <v>1912.0</v>
      </c>
      <c r="D352" s="10">
        <v>71.0</v>
      </c>
      <c r="E352" s="11" t="s">
        <v>11</v>
      </c>
      <c r="F352" s="9" t="s">
        <v>26</v>
      </c>
      <c r="G352" s="9" t="s">
        <v>22</v>
      </c>
      <c r="H352" s="15" t="s">
        <v>19</v>
      </c>
      <c r="I352" s="9" t="s">
        <v>27</v>
      </c>
      <c r="J352" s="16"/>
      <c r="K352" s="14" t="s">
        <v>20</v>
      </c>
    </row>
    <row r="353" ht="15.75" customHeight="1">
      <c r="A353" s="9" t="s">
        <v>382</v>
      </c>
      <c r="B353" s="9">
        <v>1883.0</v>
      </c>
      <c r="C353" s="9">
        <v>1912.0</v>
      </c>
      <c r="D353" s="10">
        <v>29.0</v>
      </c>
      <c r="E353" s="11" t="s">
        <v>11</v>
      </c>
      <c r="F353" s="9" t="s">
        <v>16</v>
      </c>
      <c r="G353" s="9" t="s">
        <v>18</v>
      </c>
      <c r="H353" s="15" t="s">
        <v>19</v>
      </c>
      <c r="I353" s="12"/>
      <c r="J353" s="13">
        <v>0.0</v>
      </c>
      <c r="K353" s="14" t="s">
        <v>24</v>
      </c>
    </row>
    <row r="354" ht="15.75" customHeight="1">
      <c r="A354" s="9" t="s">
        <v>383</v>
      </c>
      <c r="B354" s="9">
        <v>1884.0</v>
      </c>
      <c r="C354" s="9">
        <v>1967.0</v>
      </c>
      <c r="D354" s="10">
        <v>28.0</v>
      </c>
      <c r="E354" s="17" t="s">
        <v>30</v>
      </c>
      <c r="F354" s="9" t="s">
        <v>44</v>
      </c>
      <c r="G354" s="9" t="s">
        <v>12</v>
      </c>
      <c r="H354" s="9" t="s">
        <v>13</v>
      </c>
      <c r="J354" s="13">
        <v>0.0</v>
      </c>
      <c r="K354" s="14" t="s">
        <v>24</v>
      </c>
    </row>
    <row r="355" ht="15.75" customHeight="1">
      <c r="A355" s="9" t="s">
        <v>384</v>
      </c>
      <c r="B355" s="9">
        <v>1871.0</v>
      </c>
      <c r="C355" s="9">
        <v>1912.0</v>
      </c>
      <c r="D355" s="10">
        <v>41.0</v>
      </c>
      <c r="E355" s="11" t="s">
        <v>11</v>
      </c>
      <c r="G355" s="9" t="s">
        <v>22</v>
      </c>
      <c r="H355" s="15" t="s">
        <v>19</v>
      </c>
      <c r="I355" s="9" t="s">
        <v>35</v>
      </c>
      <c r="J355" s="16"/>
      <c r="K355" s="14" t="s">
        <v>14</v>
      </c>
    </row>
    <row r="356" ht="15.75" customHeight="1">
      <c r="A356" s="9" t="s">
        <v>385</v>
      </c>
      <c r="B356" s="9">
        <v>1856.0</v>
      </c>
      <c r="C356" s="9">
        <v>1968.0</v>
      </c>
      <c r="D356" s="10">
        <v>56.0</v>
      </c>
      <c r="E356" s="11" t="s">
        <v>11</v>
      </c>
      <c r="F356" s="9" t="s">
        <v>26</v>
      </c>
      <c r="G356" s="9" t="s">
        <v>22</v>
      </c>
      <c r="H356" s="9" t="s">
        <v>13</v>
      </c>
      <c r="I356" s="9" t="s">
        <v>40</v>
      </c>
      <c r="J356" s="13">
        <v>0.0</v>
      </c>
      <c r="K356" s="14" t="s">
        <v>14</v>
      </c>
    </row>
    <row r="357" ht="15.75" customHeight="1">
      <c r="A357" s="9" t="s">
        <v>386</v>
      </c>
      <c r="B357" s="9">
        <v>1859.0</v>
      </c>
      <c r="C357" s="9">
        <v>1912.0</v>
      </c>
      <c r="D357" s="10">
        <v>53.0</v>
      </c>
      <c r="E357" s="11" t="s">
        <v>11</v>
      </c>
      <c r="G357" s="9" t="s">
        <v>33</v>
      </c>
      <c r="H357" s="15" t="s">
        <v>19</v>
      </c>
      <c r="I357" s="12"/>
      <c r="J357" s="16"/>
      <c r="K357" s="14" t="s">
        <v>14</v>
      </c>
    </row>
    <row r="358" ht="15.75" customHeight="1">
      <c r="A358" s="9" t="s">
        <v>387</v>
      </c>
      <c r="B358" s="9">
        <v>1847.0</v>
      </c>
      <c r="C358" s="9">
        <v>1912.0</v>
      </c>
      <c r="D358" s="10">
        <v>65.0</v>
      </c>
      <c r="E358" s="11" t="s">
        <v>11</v>
      </c>
      <c r="F358" s="9" t="s">
        <v>16</v>
      </c>
      <c r="G358" s="9" t="s">
        <v>22</v>
      </c>
      <c r="H358" s="15" t="s">
        <v>19</v>
      </c>
      <c r="I358" s="9" t="s">
        <v>27</v>
      </c>
      <c r="J358" s="16"/>
      <c r="K358" s="14" t="s">
        <v>20</v>
      </c>
    </row>
    <row r="359" ht="15.75" customHeight="1">
      <c r="A359" s="9" t="s">
        <v>388</v>
      </c>
      <c r="B359" s="9">
        <v>1877.0</v>
      </c>
      <c r="C359" s="9">
        <v>1912.0</v>
      </c>
      <c r="D359" s="10">
        <v>35.0</v>
      </c>
      <c r="E359" s="11" t="s">
        <v>11</v>
      </c>
      <c r="F359" s="9" t="s">
        <v>16</v>
      </c>
      <c r="G359" s="9" t="s">
        <v>22</v>
      </c>
      <c r="H359" s="15" t="s">
        <v>19</v>
      </c>
      <c r="I359" s="9" t="s">
        <v>27</v>
      </c>
      <c r="J359" s="13">
        <v>0.0</v>
      </c>
      <c r="K359" s="14" t="s">
        <v>24</v>
      </c>
    </row>
    <row r="360" ht="15.75" customHeight="1">
      <c r="A360" s="9" t="s">
        <v>389</v>
      </c>
      <c r="B360" s="9">
        <v>1896.0</v>
      </c>
      <c r="C360" s="9">
        <v>1912.0</v>
      </c>
      <c r="D360" s="10">
        <v>16.0</v>
      </c>
      <c r="E360" s="11" t="s">
        <v>11</v>
      </c>
      <c r="F360" s="9" t="s">
        <v>16</v>
      </c>
      <c r="G360" s="9" t="s">
        <v>22</v>
      </c>
      <c r="H360" s="15" t="s">
        <v>19</v>
      </c>
      <c r="I360" s="9" t="s">
        <v>40</v>
      </c>
      <c r="J360" s="13">
        <v>0.0</v>
      </c>
      <c r="K360" s="14" t="s">
        <v>31</v>
      </c>
    </row>
    <row r="361" ht="15.75" customHeight="1">
      <c r="A361" s="9" t="s">
        <v>390</v>
      </c>
      <c r="B361" s="9">
        <v>1845.0</v>
      </c>
      <c r="C361" s="9">
        <v>1912.0</v>
      </c>
      <c r="D361" s="10">
        <v>67.0</v>
      </c>
      <c r="E361" s="17" t="s">
        <v>30</v>
      </c>
      <c r="F361" s="9" t="s">
        <v>16</v>
      </c>
      <c r="G361" s="9" t="s">
        <v>33</v>
      </c>
      <c r="H361" s="15" t="s">
        <v>19</v>
      </c>
      <c r="I361" s="12"/>
      <c r="J361" s="13">
        <v>0.0</v>
      </c>
      <c r="K361" s="14" t="s">
        <v>20</v>
      </c>
    </row>
    <row r="362" ht="15.75" customHeight="1">
      <c r="A362" s="9" t="s">
        <v>391</v>
      </c>
      <c r="B362" s="9">
        <v>1843.0</v>
      </c>
      <c r="C362" s="9">
        <v>1912.0</v>
      </c>
      <c r="D362" s="10">
        <v>69.0</v>
      </c>
      <c r="E362" s="11" t="s">
        <v>11</v>
      </c>
      <c r="F362" s="9" t="s">
        <v>16</v>
      </c>
      <c r="G362" s="9" t="s">
        <v>22</v>
      </c>
      <c r="H362" s="15" t="s">
        <v>19</v>
      </c>
      <c r="I362" s="9" t="s">
        <v>27</v>
      </c>
      <c r="J362" s="16"/>
      <c r="K362" s="14" t="s">
        <v>20</v>
      </c>
    </row>
    <row r="363" ht="15.75" customHeight="1">
      <c r="A363" s="9" t="s">
        <v>392</v>
      </c>
      <c r="B363" s="9">
        <v>1870.0</v>
      </c>
      <c r="C363" s="9">
        <v>1912.0</v>
      </c>
      <c r="D363" s="10">
        <v>42.0</v>
      </c>
      <c r="E363" s="17" t="s">
        <v>30</v>
      </c>
      <c r="F363" s="9" t="s">
        <v>16</v>
      </c>
      <c r="G363" s="9" t="s">
        <v>18</v>
      </c>
      <c r="H363" s="15" t="s">
        <v>19</v>
      </c>
      <c r="I363" s="12"/>
      <c r="J363" s="16"/>
      <c r="K363" s="14" t="s">
        <v>14</v>
      </c>
    </row>
    <row r="364" ht="15.75" customHeight="1">
      <c r="A364" s="9" t="s">
        <v>393</v>
      </c>
      <c r="B364" s="9">
        <v>1850.0</v>
      </c>
      <c r="C364" s="9">
        <v>1912.0</v>
      </c>
      <c r="D364" s="10">
        <v>62.0</v>
      </c>
      <c r="E364" s="11" t="s">
        <v>11</v>
      </c>
      <c r="F364" s="9" t="s">
        <v>16</v>
      </c>
      <c r="G364" s="9" t="s">
        <v>18</v>
      </c>
      <c r="H364" s="15" t="s">
        <v>19</v>
      </c>
      <c r="J364" s="16"/>
      <c r="K364" s="14" t="s">
        <v>20</v>
      </c>
    </row>
    <row r="365" ht="15.75" customHeight="1">
      <c r="A365" s="9" t="s">
        <v>394</v>
      </c>
      <c r="B365" s="9">
        <v>1847.0</v>
      </c>
      <c r="C365" s="9">
        <v>1931.0</v>
      </c>
      <c r="D365" s="10">
        <v>65.0</v>
      </c>
      <c r="E365" s="9" t="s">
        <v>11</v>
      </c>
      <c r="F365" s="9" t="s">
        <v>26</v>
      </c>
      <c r="G365" s="9" t="s">
        <v>22</v>
      </c>
      <c r="H365" s="9" t="s">
        <v>13</v>
      </c>
      <c r="I365" s="9" t="s">
        <v>40</v>
      </c>
      <c r="J365" s="13">
        <v>0.0</v>
      </c>
      <c r="K365" s="14" t="s">
        <v>20</v>
      </c>
    </row>
    <row r="366" ht="15.75" customHeight="1">
      <c r="A366" s="9" t="s">
        <v>395</v>
      </c>
      <c r="B366" s="9">
        <v>1849.0</v>
      </c>
      <c r="C366" s="9">
        <v>1980.0</v>
      </c>
      <c r="D366" s="10">
        <v>63.0</v>
      </c>
      <c r="E366" s="11" t="s">
        <v>11</v>
      </c>
      <c r="F366" s="9" t="s">
        <v>26</v>
      </c>
      <c r="G366" s="9" t="s">
        <v>33</v>
      </c>
      <c r="H366" s="9" t="s">
        <v>13</v>
      </c>
      <c r="J366" s="13">
        <v>0.0</v>
      </c>
      <c r="K366" s="14" t="s">
        <v>20</v>
      </c>
    </row>
    <row r="367" ht="15.75" customHeight="1">
      <c r="A367" s="9" t="s">
        <v>396</v>
      </c>
      <c r="B367" s="9">
        <v>1865.0</v>
      </c>
      <c r="C367" s="9">
        <v>1912.0</v>
      </c>
      <c r="D367" s="10">
        <v>47.0</v>
      </c>
      <c r="E367" s="11" t="s">
        <v>11</v>
      </c>
      <c r="F367" s="9" t="s">
        <v>16</v>
      </c>
      <c r="G367" s="9" t="s">
        <v>33</v>
      </c>
      <c r="H367" s="15" t="s">
        <v>19</v>
      </c>
      <c r="I367" s="12"/>
      <c r="J367" s="13">
        <v>0.0</v>
      </c>
      <c r="K367" s="14" t="s">
        <v>14</v>
      </c>
    </row>
    <row r="368" ht="15.75" customHeight="1">
      <c r="A368" s="9" t="s">
        <v>397</v>
      </c>
      <c r="B368" s="9">
        <v>1848.0</v>
      </c>
      <c r="C368" s="9">
        <v>1912.0</v>
      </c>
      <c r="D368" s="10">
        <v>64.0</v>
      </c>
      <c r="E368" s="11" t="s">
        <v>11</v>
      </c>
      <c r="F368" s="9" t="s">
        <v>16</v>
      </c>
      <c r="G368" s="9" t="s">
        <v>18</v>
      </c>
      <c r="H368" s="15" t="s">
        <v>19</v>
      </c>
      <c r="I368" s="12"/>
      <c r="J368" s="16"/>
      <c r="K368" s="14" t="s">
        <v>20</v>
      </c>
    </row>
    <row r="369" ht="15.75" customHeight="1">
      <c r="A369" s="9" t="s">
        <v>398</v>
      </c>
      <c r="B369" s="9">
        <v>1843.0</v>
      </c>
      <c r="C369" s="9">
        <v>1967.0</v>
      </c>
      <c r="D369" s="10">
        <v>69.0</v>
      </c>
      <c r="E369" s="11" t="s">
        <v>11</v>
      </c>
      <c r="F369" s="9" t="s">
        <v>16</v>
      </c>
      <c r="G369" s="9" t="s">
        <v>22</v>
      </c>
      <c r="H369" s="9" t="s">
        <v>13</v>
      </c>
      <c r="I369" s="9" t="s">
        <v>23</v>
      </c>
      <c r="J369" s="16"/>
      <c r="K369" s="14" t="s">
        <v>20</v>
      </c>
    </row>
    <row r="370" ht="15.75" customHeight="1">
      <c r="A370" s="9" t="s">
        <v>399</v>
      </c>
      <c r="B370" s="9">
        <v>1897.0</v>
      </c>
      <c r="C370" s="9">
        <v>1933.0</v>
      </c>
      <c r="D370" s="10">
        <v>15.0</v>
      </c>
      <c r="E370" s="11" t="s">
        <v>11</v>
      </c>
      <c r="F370" s="9" t="s">
        <v>16</v>
      </c>
      <c r="G370" s="9" t="s">
        <v>12</v>
      </c>
      <c r="H370" s="9" t="s">
        <v>13</v>
      </c>
      <c r="J370" s="13">
        <v>0.0</v>
      </c>
      <c r="K370" s="14" t="s">
        <v>31</v>
      </c>
    </row>
    <row r="371" ht="15.75" customHeight="1">
      <c r="A371" s="9" t="s">
        <v>400</v>
      </c>
      <c r="B371" s="9">
        <v>1886.0</v>
      </c>
      <c r="C371" s="9">
        <v>1912.0</v>
      </c>
      <c r="D371" s="10">
        <v>26.0</v>
      </c>
      <c r="E371" s="11" t="s">
        <v>11</v>
      </c>
      <c r="F371" s="9" t="s">
        <v>16</v>
      </c>
      <c r="G371" s="9" t="s">
        <v>12</v>
      </c>
      <c r="H371" s="15" t="s">
        <v>19</v>
      </c>
      <c r="I371" s="12"/>
      <c r="J371" s="13">
        <v>0.0</v>
      </c>
      <c r="K371" s="14" t="s">
        <v>24</v>
      </c>
    </row>
    <row r="372" ht="15.75" customHeight="1">
      <c r="A372" s="9" t="s">
        <v>401</v>
      </c>
      <c r="B372" s="9">
        <v>1845.0</v>
      </c>
      <c r="C372" s="9">
        <v>1945.0</v>
      </c>
      <c r="D372" s="10">
        <v>67.0</v>
      </c>
      <c r="E372" s="11" t="s">
        <v>11</v>
      </c>
      <c r="F372" s="9" t="s">
        <v>26</v>
      </c>
      <c r="G372" s="9" t="s">
        <v>12</v>
      </c>
      <c r="H372" s="9" t="s">
        <v>13</v>
      </c>
      <c r="I372" s="12"/>
      <c r="J372" s="13">
        <v>0.0</v>
      </c>
      <c r="K372" s="14" t="s">
        <v>20</v>
      </c>
    </row>
    <row r="373" ht="15.75" customHeight="1">
      <c r="A373" s="9" t="s">
        <v>402</v>
      </c>
      <c r="B373" s="9">
        <v>1849.0</v>
      </c>
      <c r="D373" s="10">
        <v>63.0</v>
      </c>
      <c r="E373" s="17" t="s">
        <v>30</v>
      </c>
      <c r="F373" s="9" t="s">
        <v>16</v>
      </c>
      <c r="G373" s="9" t="s">
        <v>12</v>
      </c>
      <c r="H373" s="9" t="s">
        <v>13</v>
      </c>
      <c r="I373" s="12"/>
      <c r="J373" s="13">
        <v>0.0</v>
      </c>
      <c r="K373" s="14" t="s">
        <v>20</v>
      </c>
    </row>
    <row r="374" ht="15.75" customHeight="1">
      <c r="A374" s="9" t="s">
        <v>403</v>
      </c>
      <c r="B374" s="9">
        <v>1852.0</v>
      </c>
      <c r="C374" s="9">
        <v>1912.0</v>
      </c>
      <c r="D374" s="10">
        <v>60.0</v>
      </c>
      <c r="E374" s="11" t="s">
        <v>11</v>
      </c>
      <c r="G374" s="9" t="s">
        <v>22</v>
      </c>
      <c r="H374" s="15" t="s">
        <v>19</v>
      </c>
      <c r="I374" s="9" t="s">
        <v>40</v>
      </c>
      <c r="J374" s="16"/>
      <c r="K374" s="14" t="s">
        <v>20</v>
      </c>
    </row>
    <row r="375" ht="15.75" customHeight="1">
      <c r="A375" s="9" t="s">
        <v>404</v>
      </c>
      <c r="B375" s="9">
        <v>1887.0</v>
      </c>
      <c r="C375" s="9">
        <v>1939.0</v>
      </c>
      <c r="D375" s="10">
        <v>25.0</v>
      </c>
      <c r="E375" s="17" t="s">
        <v>30</v>
      </c>
      <c r="F375" s="9" t="s">
        <v>16</v>
      </c>
      <c r="G375" s="9" t="s">
        <v>18</v>
      </c>
      <c r="H375" s="9" t="s">
        <v>13</v>
      </c>
      <c r="J375" s="13">
        <v>0.0</v>
      </c>
      <c r="K375" s="14" t="s">
        <v>24</v>
      </c>
    </row>
    <row r="376" ht="15.75" customHeight="1">
      <c r="A376" s="9" t="s">
        <v>405</v>
      </c>
      <c r="B376" s="9">
        <v>1860.0</v>
      </c>
      <c r="C376" s="9">
        <v>1944.0</v>
      </c>
      <c r="D376" s="10">
        <v>52.0</v>
      </c>
      <c r="E376" s="17" t="s">
        <v>30</v>
      </c>
      <c r="G376" s="9" t="s">
        <v>18</v>
      </c>
      <c r="H376" s="9" t="s">
        <v>13</v>
      </c>
      <c r="J376" s="16"/>
      <c r="K376" s="14" t="s">
        <v>14</v>
      </c>
    </row>
    <row r="377" ht="15.75" customHeight="1">
      <c r="A377" s="9" t="s">
        <v>406</v>
      </c>
      <c r="B377" s="9">
        <v>1846.0</v>
      </c>
      <c r="C377" s="9">
        <v>1982.0</v>
      </c>
      <c r="D377" s="10">
        <v>66.0</v>
      </c>
      <c r="E377" s="17" t="s">
        <v>30</v>
      </c>
      <c r="G377" s="9" t="s">
        <v>33</v>
      </c>
      <c r="H377" s="9" t="s">
        <v>13</v>
      </c>
      <c r="J377" s="16"/>
      <c r="K377" s="14" t="s">
        <v>20</v>
      </c>
    </row>
    <row r="378" ht="15.75" customHeight="1">
      <c r="A378" s="9" t="s">
        <v>407</v>
      </c>
      <c r="B378" s="9">
        <v>1887.0</v>
      </c>
      <c r="C378" s="9">
        <v>1912.0</v>
      </c>
      <c r="D378" s="10">
        <v>25.0</v>
      </c>
      <c r="E378" s="11" t="s">
        <v>11</v>
      </c>
      <c r="F378" s="9" t="s">
        <v>26</v>
      </c>
      <c r="G378" s="9" t="s">
        <v>12</v>
      </c>
      <c r="H378" s="15" t="s">
        <v>19</v>
      </c>
      <c r="J378" s="13">
        <v>0.0</v>
      </c>
      <c r="K378" s="14" t="s">
        <v>24</v>
      </c>
    </row>
    <row r="379" ht="15.75" customHeight="1">
      <c r="A379" s="9" t="s">
        <v>408</v>
      </c>
      <c r="B379" s="9">
        <v>1856.0</v>
      </c>
      <c r="C379" s="9">
        <v>1973.0</v>
      </c>
      <c r="D379" s="10">
        <v>56.0</v>
      </c>
      <c r="E379" s="17" t="s">
        <v>30</v>
      </c>
      <c r="F379" s="9" t="s">
        <v>26</v>
      </c>
      <c r="G379" s="9" t="s">
        <v>12</v>
      </c>
      <c r="H379" s="9" t="s">
        <v>13</v>
      </c>
      <c r="I379" s="12"/>
      <c r="J379" s="13">
        <v>0.0</v>
      </c>
      <c r="K379" s="14" t="s">
        <v>14</v>
      </c>
    </row>
    <row r="380" ht="15.75" customHeight="1">
      <c r="A380" s="9" t="s">
        <v>409</v>
      </c>
      <c r="B380" s="9">
        <v>1845.0</v>
      </c>
      <c r="C380" s="9">
        <v>1912.0</v>
      </c>
      <c r="D380" s="10">
        <v>67.0</v>
      </c>
      <c r="E380" s="11" t="s">
        <v>11</v>
      </c>
      <c r="G380" s="9" t="s">
        <v>22</v>
      </c>
      <c r="H380" s="15" t="s">
        <v>19</v>
      </c>
      <c r="I380" s="9" t="s">
        <v>27</v>
      </c>
      <c r="J380" s="16"/>
      <c r="K380" s="14" t="s">
        <v>20</v>
      </c>
    </row>
    <row r="381" ht="15.75" customHeight="1">
      <c r="A381" s="9" t="s">
        <v>410</v>
      </c>
      <c r="B381" s="9">
        <v>1860.0</v>
      </c>
      <c r="C381" s="9">
        <v>1949.0</v>
      </c>
      <c r="D381" s="10">
        <v>52.0</v>
      </c>
      <c r="E381" s="11" t="s">
        <v>11</v>
      </c>
      <c r="F381" s="9" t="s">
        <v>16</v>
      </c>
      <c r="G381" s="9" t="s">
        <v>12</v>
      </c>
      <c r="H381" s="9" t="s">
        <v>13</v>
      </c>
      <c r="I381" s="12"/>
      <c r="J381" s="13">
        <v>0.0</v>
      </c>
      <c r="K381" s="14" t="s">
        <v>14</v>
      </c>
    </row>
    <row r="382" ht="15.75" customHeight="1">
      <c r="A382" s="9" t="s">
        <v>411</v>
      </c>
      <c r="B382" s="9">
        <v>1879.0</v>
      </c>
      <c r="C382" s="9">
        <v>1912.0</v>
      </c>
      <c r="D382" s="10">
        <v>33.0</v>
      </c>
      <c r="E382" s="11" t="s">
        <v>11</v>
      </c>
      <c r="F382" s="9" t="s">
        <v>16</v>
      </c>
      <c r="G382" s="9" t="s">
        <v>33</v>
      </c>
      <c r="H382" s="15" t="s">
        <v>19</v>
      </c>
      <c r="J382" s="16"/>
      <c r="K382" s="14" t="s">
        <v>24</v>
      </c>
    </row>
    <row r="383" ht="15.75" customHeight="1">
      <c r="A383" s="9" t="s">
        <v>412</v>
      </c>
      <c r="B383" s="9">
        <v>1893.0</v>
      </c>
      <c r="C383" s="9">
        <v>1912.0</v>
      </c>
      <c r="D383" s="10">
        <v>19.0</v>
      </c>
      <c r="E383" s="17" t="s">
        <v>30</v>
      </c>
      <c r="G383" s="9" t="s">
        <v>12</v>
      </c>
      <c r="H383" s="15" t="s">
        <v>19</v>
      </c>
      <c r="I383" s="12"/>
      <c r="J383" s="13">
        <v>0.0</v>
      </c>
      <c r="K383" s="14" t="s">
        <v>31</v>
      </c>
    </row>
    <row r="384" ht="15.75" customHeight="1">
      <c r="A384" s="9" t="s">
        <v>413</v>
      </c>
      <c r="B384" s="9">
        <v>1893.0</v>
      </c>
      <c r="C384" s="9">
        <v>1912.0</v>
      </c>
      <c r="D384" s="10">
        <v>19.0</v>
      </c>
      <c r="E384" s="11" t="s">
        <v>11</v>
      </c>
      <c r="F384" s="9" t="s">
        <v>26</v>
      </c>
      <c r="G384" s="9" t="s">
        <v>22</v>
      </c>
      <c r="H384" s="15" t="s">
        <v>19</v>
      </c>
      <c r="I384" s="9" t="s">
        <v>27</v>
      </c>
      <c r="J384" s="16"/>
      <c r="K384" s="14" t="s">
        <v>24</v>
      </c>
    </row>
    <row r="385" ht="15.75" customHeight="1">
      <c r="A385" s="9" t="s">
        <v>414</v>
      </c>
      <c r="B385" s="9">
        <v>1870.0</v>
      </c>
      <c r="C385" s="9">
        <v>1959.0</v>
      </c>
      <c r="D385" s="10">
        <v>42.0</v>
      </c>
      <c r="E385" s="17" t="s">
        <v>30</v>
      </c>
      <c r="F385" s="9" t="s">
        <v>16</v>
      </c>
      <c r="G385" s="9" t="s">
        <v>12</v>
      </c>
      <c r="H385" s="9" t="s">
        <v>13</v>
      </c>
      <c r="I385" s="12"/>
      <c r="J385" s="13">
        <v>0.0</v>
      </c>
      <c r="K385" s="14" t="s">
        <v>14</v>
      </c>
    </row>
    <row r="386" ht="15.75" customHeight="1">
      <c r="A386" s="9" t="s">
        <v>415</v>
      </c>
      <c r="B386" s="9">
        <v>1844.0</v>
      </c>
      <c r="C386" s="9">
        <v>1912.0</v>
      </c>
      <c r="D386" s="10">
        <v>68.0</v>
      </c>
      <c r="E386" s="11" t="s">
        <v>11</v>
      </c>
      <c r="F386" s="9" t="s">
        <v>26</v>
      </c>
      <c r="G386" s="9" t="s">
        <v>33</v>
      </c>
      <c r="H386" s="15" t="s">
        <v>19</v>
      </c>
      <c r="I386" s="12"/>
      <c r="J386" s="13">
        <v>0.0</v>
      </c>
      <c r="K386" s="14" t="s">
        <v>20</v>
      </c>
    </row>
    <row r="387" ht="15.75" customHeight="1">
      <c r="A387" s="9" t="s">
        <v>416</v>
      </c>
      <c r="B387" s="9">
        <v>1886.0</v>
      </c>
      <c r="C387" s="9">
        <v>1951.0</v>
      </c>
      <c r="D387" s="10">
        <v>26.0</v>
      </c>
      <c r="E387" s="11" t="s">
        <v>11</v>
      </c>
      <c r="F387" s="9" t="s">
        <v>26</v>
      </c>
      <c r="G387" s="9" t="s">
        <v>22</v>
      </c>
      <c r="H387" s="9" t="s">
        <v>13</v>
      </c>
      <c r="I387" s="9" t="s">
        <v>27</v>
      </c>
      <c r="J387" s="13">
        <v>0.0</v>
      </c>
      <c r="K387" s="14" t="s">
        <v>24</v>
      </c>
    </row>
    <row r="388" ht="15.75" customHeight="1">
      <c r="A388" s="9" t="s">
        <v>417</v>
      </c>
      <c r="B388" s="9">
        <v>1863.0</v>
      </c>
      <c r="C388" s="9">
        <v>1912.0</v>
      </c>
      <c r="D388" s="10">
        <v>49.0</v>
      </c>
      <c r="E388" s="11" t="s">
        <v>11</v>
      </c>
      <c r="F388" s="9" t="s">
        <v>26</v>
      </c>
      <c r="G388" s="9" t="s">
        <v>22</v>
      </c>
      <c r="H388" s="15" t="s">
        <v>19</v>
      </c>
      <c r="I388" s="9" t="s">
        <v>27</v>
      </c>
      <c r="J388" s="16"/>
      <c r="K388" s="14" t="s">
        <v>14</v>
      </c>
    </row>
    <row r="389" ht="15.75" customHeight="1">
      <c r="A389" s="9" t="s">
        <v>418</v>
      </c>
      <c r="B389" s="9">
        <v>1889.0</v>
      </c>
      <c r="C389" s="9">
        <v>1912.0</v>
      </c>
      <c r="D389" s="10">
        <v>23.0</v>
      </c>
      <c r="E389" s="11" t="s">
        <v>11</v>
      </c>
      <c r="F389" s="9" t="s">
        <v>16</v>
      </c>
      <c r="G389" s="9" t="s">
        <v>33</v>
      </c>
      <c r="H389" s="15" t="s">
        <v>19</v>
      </c>
      <c r="I389" s="12"/>
      <c r="J389" s="13">
        <v>0.0</v>
      </c>
      <c r="K389" s="14" t="s">
        <v>24</v>
      </c>
    </row>
    <row r="390" ht="15.75" customHeight="1">
      <c r="A390" s="9" t="s">
        <v>419</v>
      </c>
      <c r="B390" s="9">
        <v>1901.0</v>
      </c>
      <c r="C390" s="9">
        <v>1961.0</v>
      </c>
      <c r="D390" s="10">
        <v>11.0</v>
      </c>
      <c r="E390" s="11" t="s">
        <v>11</v>
      </c>
      <c r="F390" s="9" t="s">
        <v>26</v>
      </c>
      <c r="G390" s="9" t="s">
        <v>33</v>
      </c>
      <c r="H390" s="9" t="s">
        <v>13</v>
      </c>
      <c r="J390" s="13">
        <v>0.0</v>
      </c>
      <c r="K390" s="14" t="s">
        <v>31</v>
      </c>
    </row>
    <row r="391" ht="15.75" customHeight="1">
      <c r="A391" s="9" t="s">
        <v>420</v>
      </c>
      <c r="B391" s="9">
        <v>1869.0</v>
      </c>
      <c r="C391" s="9">
        <v>1947.0</v>
      </c>
      <c r="D391" s="10">
        <v>43.0</v>
      </c>
      <c r="E391" s="17" t="s">
        <v>30</v>
      </c>
      <c r="F391" s="9" t="s">
        <v>26</v>
      </c>
      <c r="G391" s="9" t="s">
        <v>22</v>
      </c>
      <c r="H391" s="9" t="s">
        <v>13</v>
      </c>
      <c r="I391" s="9" t="s">
        <v>27</v>
      </c>
      <c r="J391" s="16"/>
      <c r="K391" s="14" t="s">
        <v>14</v>
      </c>
    </row>
    <row r="392" ht="15.75" customHeight="1">
      <c r="A392" s="9" t="s">
        <v>421</v>
      </c>
      <c r="B392" s="9">
        <v>1866.0</v>
      </c>
      <c r="C392" s="9">
        <v>1933.0</v>
      </c>
      <c r="D392" s="10">
        <v>46.0</v>
      </c>
      <c r="E392" s="11" t="s">
        <v>11</v>
      </c>
      <c r="F392" s="9" t="s">
        <v>26</v>
      </c>
      <c r="G392" s="9" t="s">
        <v>22</v>
      </c>
      <c r="H392" s="9" t="s">
        <v>13</v>
      </c>
      <c r="I392" s="9" t="s">
        <v>27</v>
      </c>
      <c r="J392" s="13">
        <v>0.0</v>
      </c>
      <c r="K392" s="14" t="s">
        <v>14</v>
      </c>
    </row>
    <row r="393" ht="15.75" customHeight="1">
      <c r="A393" s="9" t="s">
        <v>422</v>
      </c>
      <c r="B393" s="9">
        <v>1903.0</v>
      </c>
      <c r="C393" s="9">
        <v>1912.0</v>
      </c>
      <c r="D393" s="10">
        <v>9.0</v>
      </c>
      <c r="E393" s="11" t="s">
        <v>11</v>
      </c>
      <c r="F393" s="9" t="s">
        <v>26</v>
      </c>
      <c r="G393" s="9" t="s">
        <v>33</v>
      </c>
      <c r="H393" s="15" t="s">
        <v>19</v>
      </c>
      <c r="J393" s="13">
        <v>0.0</v>
      </c>
      <c r="K393" s="14" t="s">
        <v>31</v>
      </c>
    </row>
    <row r="394" ht="15.75" customHeight="1">
      <c r="A394" s="9" t="s">
        <v>423</v>
      </c>
      <c r="B394" s="9">
        <v>1902.0</v>
      </c>
      <c r="C394" s="9">
        <v>1912.0</v>
      </c>
      <c r="D394" s="10">
        <v>10.0</v>
      </c>
      <c r="E394" s="17" t="s">
        <v>30</v>
      </c>
      <c r="F394" s="9" t="s">
        <v>16</v>
      </c>
      <c r="G394" s="9" t="s">
        <v>18</v>
      </c>
      <c r="H394" s="15" t="s">
        <v>19</v>
      </c>
      <c r="J394" s="13">
        <v>0.0</v>
      </c>
      <c r="K394" s="14" t="s">
        <v>31</v>
      </c>
    </row>
    <row r="395" ht="15.75" customHeight="1">
      <c r="A395" s="9" t="s">
        <v>424</v>
      </c>
      <c r="B395" s="9">
        <v>1876.0</v>
      </c>
      <c r="C395" s="9">
        <v>1912.0</v>
      </c>
      <c r="D395" s="10">
        <v>36.0</v>
      </c>
      <c r="E395" s="11" t="s">
        <v>11</v>
      </c>
      <c r="F395" s="9" t="s">
        <v>16</v>
      </c>
      <c r="G395" s="9" t="s">
        <v>12</v>
      </c>
      <c r="H395" s="15" t="s">
        <v>19</v>
      </c>
      <c r="J395" s="13">
        <v>0.0</v>
      </c>
      <c r="K395" s="14" t="s">
        <v>24</v>
      </c>
    </row>
    <row r="396" ht="15.75" customHeight="1">
      <c r="A396" s="9" t="s">
        <v>425</v>
      </c>
      <c r="B396" s="9">
        <v>1862.0</v>
      </c>
      <c r="C396" s="9">
        <v>1912.0</v>
      </c>
      <c r="D396" s="10">
        <v>50.0</v>
      </c>
      <c r="E396" s="11" t="s">
        <v>11</v>
      </c>
      <c r="F396" s="9" t="s">
        <v>26</v>
      </c>
      <c r="G396" s="9" t="s">
        <v>33</v>
      </c>
      <c r="H396" s="15" t="s">
        <v>19</v>
      </c>
      <c r="I396" s="12"/>
      <c r="J396" s="13">
        <v>0.0</v>
      </c>
      <c r="K396" s="14" t="s">
        <v>14</v>
      </c>
    </row>
    <row r="397" ht="15.75" customHeight="1">
      <c r="A397" s="9" t="s">
        <v>426</v>
      </c>
      <c r="B397" s="9">
        <v>1908.0</v>
      </c>
      <c r="C397" s="9">
        <v>1912.0</v>
      </c>
      <c r="D397" s="10">
        <v>4.0</v>
      </c>
      <c r="E397" s="11" t="s">
        <v>11</v>
      </c>
      <c r="F397" s="9" t="s">
        <v>16</v>
      </c>
      <c r="G397" s="9" t="s">
        <v>12</v>
      </c>
      <c r="H397" s="15" t="s">
        <v>19</v>
      </c>
      <c r="I397" s="12"/>
      <c r="J397" s="13">
        <v>0.0</v>
      </c>
      <c r="K397" s="14" t="s">
        <v>31</v>
      </c>
    </row>
    <row r="398" ht="15.75" customHeight="1">
      <c r="A398" s="9" t="s">
        <v>427</v>
      </c>
      <c r="B398" s="9">
        <v>1886.0</v>
      </c>
      <c r="C398" s="9">
        <v>1912.0</v>
      </c>
      <c r="D398" s="10">
        <v>26.0</v>
      </c>
      <c r="E398" s="11" t="s">
        <v>11</v>
      </c>
      <c r="F398" s="9" t="s">
        <v>16</v>
      </c>
      <c r="G398" s="9" t="s">
        <v>18</v>
      </c>
      <c r="H398" s="15" t="s">
        <v>19</v>
      </c>
      <c r="J398" s="16"/>
      <c r="K398" s="14" t="s">
        <v>24</v>
      </c>
    </row>
    <row r="399" ht="15.75" customHeight="1">
      <c r="A399" s="9" t="s">
        <v>428</v>
      </c>
      <c r="B399" s="9">
        <v>1907.0</v>
      </c>
      <c r="C399" s="9">
        <v>1964.0</v>
      </c>
      <c r="D399" s="10">
        <v>5.0</v>
      </c>
      <c r="E399" s="17" t="s">
        <v>30</v>
      </c>
      <c r="F399" s="9" t="s">
        <v>26</v>
      </c>
      <c r="G399" s="9" t="s">
        <v>12</v>
      </c>
      <c r="H399" s="9" t="s">
        <v>13</v>
      </c>
      <c r="I399" s="12"/>
      <c r="J399" s="13">
        <v>0.0</v>
      </c>
      <c r="K399" s="14" t="s">
        <v>31</v>
      </c>
    </row>
    <row r="400" ht="15.75" customHeight="1">
      <c r="A400" s="9" t="s">
        <v>429</v>
      </c>
      <c r="B400" s="9">
        <v>1873.0</v>
      </c>
      <c r="C400" s="9">
        <v>1912.0</v>
      </c>
      <c r="D400" s="10">
        <v>39.0</v>
      </c>
      <c r="E400" s="11" t="s">
        <v>11</v>
      </c>
      <c r="F400" s="9" t="s">
        <v>47</v>
      </c>
      <c r="G400" s="9" t="s">
        <v>22</v>
      </c>
      <c r="H400" s="15" t="s">
        <v>19</v>
      </c>
      <c r="I400" s="9" t="s">
        <v>27</v>
      </c>
      <c r="J400" s="16"/>
      <c r="K400" s="14" t="s">
        <v>24</v>
      </c>
    </row>
    <row r="401" ht="15.75" customHeight="1">
      <c r="A401" s="9" t="s">
        <v>430</v>
      </c>
      <c r="B401" s="9">
        <v>1862.0</v>
      </c>
      <c r="C401" s="9">
        <v>1912.0</v>
      </c>
      <c r="D401" s="10">
        <v>50.0</v>
      </c>
      <c r="E401" s="11" t="s">
        <v>11</v>
      </c>
      <c r="F401" s="9" t="s">
        <v>26</v>
      </c>
      <c r="G401" s="9" t="s">
        <v>22</v>
      </c>
      <c r="H401" s="15" t="s">
        <v>19</v>
      </c>
      <c r="I401" s="9" t="s">
        <v>40</v>
      </c>
      <c r="J401" s="16"/>
      <c r="K401" s="14" t="s">
        <v>14</v>
      </c>
    </row>
    <row r="402" ht="15.75" customHeight="1">
      <c r="D402" s="18"/>
      <c r="H402" s="19"/>
      <c r="J402" s="16"/>
    </row>
    <row r="403" ht="15.75" customHeight="1">
      <c r="D403" s="18"/>
      <c r="J403" s="13"/>
    </row>
    <row r="404" ht="15.75" customHeight="1">
      <c r="D404" s="18"/>
      <c r="H404" s="19"/>
      <c r="J404" s="13"/>
    </row>
    <row r="405" ht="15.75" customHeight="1">
      <c r="D405" s="18"/>
      <c r="J405" s="13"/>
    </row>
    <row r="406" ht="15.75" customHeight="1">
      <c r="D406" s="18"/>
      <c r="J406" s="13"/>
    </row>
    <row r="407" ht="15.75" customHeight="1">
      <c r="D407" s="18"/>
      <c r="H407" s="19"/>
      <c r="I407" s="12"/>
      <c r="J407" s="13"/>
    </row>
    <row r="408" ht="15.75" customHeight="1">
      <c r="D408" s="18"/>
      <c r="H408" s="19"/>
      <c r="I408" s="12"/>
      <c r="J408" s="13"/>
    </row>
    <row r="409" ht="15.75" customHeight="1">
      <c r="D409" s="18"/>
      <c r="I409" s="12"/>
      <c r="J409" s="13"/>
    </row>
    <row r="410" ht="15.75" customHeight="1">
      <c r="D410" s="18"/>
      <c r="J410" s="13"/>
    </row>
    <row r="411" ht="15.75" customHeight="1">
      <c r="D411" s="18"/>
      <c r="H411" s="19"/>
      <c r="J411" s="16"/>
    </row>
    <row r="412" ht="15.75" customHeight="1">
      <c r="D412" s="18"/>
      <c r="H412" s="19"/>
      <c r="I412" s="12"/>
      <c r="J412" s="13"/>
    </row>
    <row r="413" ht="15.75" customHeight="1">
      <c r="D413" s="18"/>
      <c r="H413" s="19"/>
      <c r="J413" s="16"/>
    </row>
    <row r="414" ht="15.75" customHeight="1">
      <c r="D414" s="18"/>
      <c r="H414" s="19"/>
      <c r="I414" s="12"/>
      <c r="J414" s="16"/>
    </row>
    <row r="415" ht="15.75" customHeight="1">
      <c r="A415" s="20"/>
      <c r="D415" s="18"/>
      <c r="I415" s="12"/>
      <c r="J415" s="13"/>
    </row>
    <row r="416" ht="15.75" customHeight="1">
      <c r="D416" s="18"/>
      <c r="H416" s="19"/>
      <c r="I416" s="12"/>
      <c r="J416" s="16"/>
    </row>
    <row r="417" ht="15.75" customHeight="1">
      <c r="D417" s="18"/>
      <c r="H417" s="19"/>
      <c r="J417" s="13"/>
    </row>
    <row r="418" ht="15.75" customHeight="1">
      <c r="D418" s="18"/>
      <c r="H418" s="19"/>
      <c r="J418" s="16"/>
    </row>
    <row r="419" ht="15.75" customHeight="1">
      <c r="A419" s="20"/>
      <c r="D419" s="18"/>
      <c r="H419" s="19"/>
      <c r="J419" s="13"/>
    </row>
    <row r="420" ht="15.75" customHeight="1">
      <c r="A420" s="20"/>
      <c r="D420" s="18"/>
      <c r="J420" s="16"/>
    </row>
    <row r="421" ht="15.75" customHeight="1">
      <c r="D421" s="18"/>
      <c r="H421" s="19"/>
      <c r="I421" s="12"/>
      <c r="J421" s="13"/>
    </row>
    <row r="422" ht="15.75" customHeight="1">
      <c r="D422" s="18"/>
      <c r="J422" s="13"/>
    </row>
    <row r="423" ht="15.75" customHeight="1">
      <c r="D423" s="18"/>
      <c r="H423" s="19"/>
      <c r="I423" s="12"/>
      <c r="J423" s="13"/>
    </row>
    <row r="424" ht="15.75" customHeight="1">
      <c r="D424" s="18"/>
      <c r="J424" s="13"/>
    </row>
    <row r="425" ht="15.75" customHeight="1">
      <c r="A425" s="20"/>
      <c r="D425" s="18"/>
      <c r="J425" s="13"/>
    </row>
    <row r="426" ht="15.75" customHeight="1">
      <c r="A426" s="20"/>
      <c r="D426" s="18"/>
      <c r="I426" s="12"/>
      <c r="J426" s="13"/>
    </row>
    <row r="427" ht="15.75" customHeight="1">
      <c r="D427" s="18"/>
      <c r="H427" s="19"/>
      <c r="I427" s="12"/>
      <c r="J427" s="13"/>
    </row>
    <row r="428" ht="15.75" customHeight="1">
      <c r="D428" s="18"/>
      <c r="I428" s="12"/>
      <c r="J428" s="13"/>
    </row>
    <row r="429" ht="15.75" customHeight="1">
      <c r="D429" s="18"/>
      <c r="J429" s="16"/>
    </row>
    <row r="430" ht="15.75" customHeight="1">
      <c r="D430" s="18"/>
      <c r="H430" s="19"/>
      <c r="J430" s="16"/>
    </row>
    <row r="431" ht="15.75" customHeight="1">
      <c r="D431" s="18"/>
      <c r="J431" s="16"/>
    </row>
    <row r="432" ht="15.75" customHeight="1">
      <c r="D432" s="18"/>
      <c r="J432" s="13"/>
    </row>
    <row r="433" ht="15.75" customHeight="1">
      <c r="D433" s="18"/>
      <c r="H433" s="19"/>
      <c r="I433" s="12"/>
      <c r="J433" s="16"/>
    </row>
    <row r="434" ht="15.75" customHeight="1">
      <c r="D434" s="18"/>
      <c r="H434" s="19"/>
      <c r="J434" s="16"/>
    </row>
    <row r="435" ht="15.75" customHeight="1">
      <c r="A435" s="20"/>
      <c r="D435" s="18"/>
      <c r="I435" s="12"/>
      <c r="J435" s="16"/>
    </row>
    <row r="436" ht="15.75" customHeight="1">
      <c r="D436" s="18"/>
      <c r="H436" s="19"/>
      <c r="I436" s="12"/>
      <c r="J436" s="16"/>
    </row>
    <row r="437" ht="15.75" customHeight="1">
      <c r="D437" s="18"/>
      <c r="H437" s="19"/>
      <c r="I437" s="12"/>
      <c r="J437" s="16"/>
    </row>
    <row r="438" ht="15.75" customHeight="1">
      <c r="D438" s="18"/>
      <c r="H438" s="19"/>
      <c r="J438" s="16"/>
    </row>
    <row r="439" ht="15.75" customHeight="1">
      <c r="D439" s="18"/>
      <c r="H439" s="19"/>
      <c r="J439" s="16"/>
    </row>
    <row r="440" ht="15.75" customHeight="1">
      <c r="D440" s="18"/>
      <c r="H440" s="19"/>
      <c r="J440" s="16"/>
    </row>
    <row r="441" ht="15.75" customHeight="1">
      <c r="D441" s="18"/>
      <c r="I441" s="12"/>
      <c r="J441" s="13"/>
    </row>
    <row r="442" ht="15.75" customHeight="1">
      <c r="A442" s="20"/>
      <c r="D442" s="18"/>
      <c r="H442" s="19"/>
      <c r="J442" s="16"/>
    </row>
    <row r="443" ht="15.75" customHeight="1">
      <c r="A443" s="20"/>
      <c r="D443" s="18"/>
      <c r="H443" s="19"/>
      <c r="J443" s="16"/>
    </row>
    <row r="444" ht="15.75" customHeight="1">
      <c r="A444" s="20"/>
      <c r="D444" s="18"/>
      <c r="H444" s="19"/>
      <c r="J444" s="16"/>
    </row>
    <row r="445" ht="15.75" customHeight="1">
      <c r="A445" s="20"/>
      <c r="D445" s="18"/>
      <c r="H445" s="19"/>
      <c r="J445" s="13"/>
    </row>
    <row r="446" ht="15.75" customHeight="1">
      <c r="D446" s="18"/>
      <c r="H446" s="19"/>
      <c r="J446" s="16"/>
    </row>
    <row r="447" ht="15.75" customHeight="1">
      <c r="D447" s="18"/>
      <c r="H447" s="19"/>
      <c r="J447" s="16"/>
    </row>
    <row r="448" ht="15.75" customHeight="1">
      <c r="D448" s="18"/>
      <c r="H448" s="19"/>
      <c r="I448" s="12"/>
      <c r="J448" s="16"/>
    </row>
    <row r="449" ht="15.75" customHeight="1">
      <c r="D449" s="18"/>
      <c r="H449" s="19"/>
      <c r="J449" s="16"/>
    </row>
    <row r="450" ht="15.75" customHeight="1">
      <c r="D450" s="18"/>
      <c r="H450" s="19"/>
      <c r="I450" s="12"/>
      <c r="J450" s="13"/>
    </row>
    <row r="451" ht="15.75" customHeight="1">
      <c r="A451" s="20"/>
      <c r="D451" s="18"/>
      <c r="H451" s="19"/>
      <c r="J451" s="16"/>
    </row>
    <row r="452" ht="15.75" customHeight="1">
      <c r="A452" s="20"/>
      <c r="D452" s="18"/>
      <c r="H452" s="19"/>
      <c r="I452" s="12"/>
      <c r="J452" s="13"/>
    </row>
    <row r="453" ht="15.75" customHeight="1">
      <c r="D453" s="18"/>
      <c r="H453" s="19"/>
      <c r="J453" s="16"/>
    </row>
    <row r="454" ht="15.75" customHeight="1">
      <c r="A454" s="20"/>
      <c r="D454" s="18"/>
      <c r="H454" s="19"/>
      <c r="I454" s="12"/>
      <c r="J454" s="13"/>
    </row>
    <row r="455" ht="15.75" customHeight="1">
      <c r="D455" s="18"/>
      <c r="I455" s="12"/>
      <c r="J455" s="13"/>
    </row>
    <row r="456" ht="15.75" customHeight="1">
      <c r="A456" s="20"/>
      <c r="D456" s="18"/>
      <c r="I456" s="12"/>
      <c r="J456" s="16"/>
    </row>
    <row r="457" ht="15.75" customHeight="1">
      <c r="A457" s="20"/>
      <c r="D457" s="18"/>
      <c r="H457" s="19"/>
      <c r="I457" s="12"/>
      <c r="J457" s="16"/>
    </row>
    <row r="458" ht="15.75" customHeight="1">
      <c r="D458" s="18"/>
      <c r="H458" s="19"/>
      <c r="J458" s="16"/>
    </row>
    <row r="459" ht="15.75" customHeight="1">
      <c r="D459" s="18"/>
      <c r="H459" s="19"/>
      <c r="J459" s="16"/>
    </row>
    <row r="460" ht="15.75" customHeight="1">
      <c r="D460" s="18"/>
      <c r="H460" s="19"/>
      <c r="J460" s="16"/>
    </row>
    <row r="461" ht="15.75" customHeight="1">
      <c r="D461" s="18"/>
      <c r="J461" s="13"/>
    </row>
    <row r="462" ht="15.75" customHeight="1">
      <c r="D462" s="18"/>
      <c r="H462" s="19"/>
      <c r="J462" s="16"/>
    </row>
    <row r="463" ht="15.75" customHeight="1">
      <c r="D463" s="18"/>
      <c r="I463" s="12"/>
      <c r="J463" s="13"/>
    </row>
    <row r="464" ht="15.75" customHeight="1">
      <c r="D464" s="18"/>
      <c r="I464" s="12"/>
      <c r="J464" s="13"/>
    </row>
    <row r="465" ht="15.75" customHeight="1">
      <c r="D465" s="18"/>
      <c r="I465" s="12"/>
      <c r="J465" s="13"/>
    </row>
    <row r="466" ht="15.75" customHeight="1">
      <c r="D466" s="18"/>
      <c r="H466" s="19"/>
      <c r="J466" s="16"/>
    </row>
    <row r="467" ht="15.75" customHeight="1">
      <c r="D467" s="18"/>
      <c r="H467" s="19"/>
      <c r="I467" s="12"/>
      <c r="J467" s="13"/>
    </row>
    <row r="468" ht="15.75" customHeight="1">
      <c r="D468" s="18"/>
      <c r="H468" s="19"/>
      <c r="J468" s="13"/>
    </row>
    <row r="469" ht="15.75" customHeight="1">
      <c r="D469" s="18"/>
      <c r="H469" s="19"/>
      <c r="J469" s="16"/>
    </row>
    <row r="470" ht="15.75" customHeight="1">
      <c r="D470" s="18"/>
      <c r="J470" s="13"/>
    </row>
    <row r="471" ht="15.75" customHeight="1">
      <c r="D471" s="18"/>
      <c r="H471" s="19"/>
      <c r="I471" s="12"/>
      <c r="J471" s="13"/>
    </row>
    <row r="472" ht="15.75" customHeight="1">
      <c r="D472" s="18"/>
      <c r="J472" s="13"/>
    </row>
    <row r="473" ht="15.75" customHeight="1">
      <c r="D473" s="18"/>
      <c r="H473" s="19"/>
      <c r="I473" s="12"/>
      <c r="J473" s="13"/>
    </row>
    <row r="474" ht="15.75" customHeight="1">
      <c r="D474" s="18"/>
      <c r="H474" s="19"/>
      <c r="J474" s="13"/>
    </row>
    <row r="475" ht="15.75" customHeight="1">
      <c r="D475" s="18"/>
      <c r="H475" s="19"/>
      <c r="I475" s="12"/>
      <c r="J475" s="13"/>
    </row>
    <row r="476" ht="15.75" customHeight="1">
      <c r="D476" s="18"/>
      <c r="I476" s="12"/>
      <c r="J476" s="13"/>
    </row>
    <row r="477" ht="15.75" customHeight="1">
      <c r="D477" s="18"/>
      <c r="J477" s="13"/>
    </row>
    <row r="478" ht="15.75" customHeight="1">
      <c r="D478" s="18"/>
      <c r="H478" s="19"/>
      <c r="J478" s="16"/>
    </row>
    <row r="479" ht="15.75" customHeight="1">
      <c r="D479" s="18"/>
      <c r="H479" s="19"/>
      <c r="J479" s="13"/>
    </row>
    <row r="480" ht="15.75" customHeight="1">
      <c r="D480" s="18"/>
      <c r="H480" s="19"/>
      <c r="J480" s="16"/>
    </row>
    <row r="481" ht="15.75" customHeight="1">
      <c r="D481" s="18"/>
      <c r="H481" s="19"/>
      <c r="I481" s="12"/>
      <c r="J481" s="13"/>
    </row>
    <row r="482" ht="15.75" customHeight="1">
      <c r="D482" s="18"/>
      <c r="I482" s="12"/>
      <c r="J482" s="13"/>
    </row>
    <row r="483" ht="15.75" customHeight="1">
      <c r="D483" s="18"/>
      <c r="I483" s="12"/>
      <c r="J483" s="13"/>
    </row>
    <row r="484" ht="15.75" customHeight="1">
      <c r="D484" s="18"/>
      <c r="H484" s="19"/>
      <c r="J484" s="16"/>
    </row>
    <row r="485" ht="15.75" customHeight="1">
      <c r="A485" s="20"/>
      <c r="D485" s="18"/>
      <c r="H485" s="19"/>
      <c r="J485" s="13"/>
    </row>
    <row r="486" ht="15.75" customHeight="1">
      <c r="D486" s="18"/>
      <c r="J486" s="13"/>
    </row>
    <row r="487" ht="15.75" customHeight="1">
      <c r="D487" s="18"/>
      <c r="H487" s="19"/>
      <c r="J487" s="16"/>
    </row>
    <row r="488" ht="15.75" customHeight="1">
      <c r="D488" s="18"/>
      <c r="J488" s="13"/>
    </row>
    <row r="489" ht="15.75" customHeight="1">
      <c r="D489" s="18"/>
      <c r="H489" s="19"/>
      <c r="I489" s="12"/>
      <c r="J489" s="16"/>
    </row>
    <row r="490" ht="15.75" customHeight="1">
      <c r="D490" s="18"/>
      <c r="I490" s="12"/>
      <c r="J490" s="13"/>
    </row>
    <row r="491" ht="15.75" customHeight="1">
      <c r="D491" s="18"/>
      <c r="H491" s="19"/>
      <c r="I491" s="12"/>
      <c r="J491" s="13"/>
    </row>
    <row r="492" ht="15.75" customHeight="1">
      <c r="D492" s="18"/>
      <c r="H492" s="19"/>
      <c r="I492" s="12"/>
      <c r="J492" s="13"/>
    </row>
    <row r="493" ht="15.75" customHeight="1">
      <c r="D493" s="18"/>
      <c r="J493" s="13"/>
    </row>
    <row r="494" ht="15.75" customHeight="1">
      <c r="D494" s="18"/>
      <c r="H494" s="19"/>
      <c r="J494" s="13"/>
    </row>
    <row r="495" ht="15.75" customHeight="1">
      <c r="D495" s="18"/>
      <c r="H495" s="19"/>
      <c r="J495" s="16"/>
    </row>
    <row r="496" ht="15.75" customHeight="1">
      <c r="A496" s="20"/>
      <c r="D496" s="18"/>
      <c r="H496" s="19"/>
      <c r="I496" s="12"/>
      <c r="J496" s="16"/>
    </row>
    <row r="497" ht="15.75" customHeight="1">
      <c r="D497" s="18"/>
      <c r="I497" s="12"/>
      <c r="J497" s="13"/>
    </row>
    <row r="498" ht="15.75" customHeight="1">
      <c r="D498" s="18"/>
      <c r="H498" s="19"/>
      <c r="I498" s="12"/>
      <c r="J498" s="13"/>
    </row>
    <row r="499" ht="15.75" customHeight="1">
      <c r="D499" s="18"/>
      <c r="H499" s="19"/>
      <c r="I499" s="12"/>
      <c r="J499" s="16"/>
    </row>
    <row r="500" ht="15.75" customHeight="1">
      <c r="D500" s="18"/>
      <c r="I500" s="12"/>
      <c r="J500" s="13"/>
    </row>
    <row r="501" ht="15.75" customHeight="1">
      <c r="A501" s="20"/>
      <c r="D501" s="18"/>
      <c r="I501" s="12"/>
      <c r="J501" s="13"/>
    </row>
    <row r="502" ht="15.75" customHeight="1">
      <c r="D502" s="18"/>
      <c r="I502" s="12"/>
      <c r="J502" s="13"/>
    </row>
    <row r="503" ht="15.75" customHeight="1">
      <c r="D503" s="18"/>
      <c r="H503" s="19"/>
      <c r="I503" s="12"/>
      <c r="J503" s="13"/>
    </row>
    <row r="504" ht="15.75" customHeight="1">
      <c r="D504" s="18"/>
      <c r="H504" s="19"/>
      <c r="I504" s="12"/>
      <c r="J504" s="13"/>
    </row>
    <row r="505" ht="15.75" customHeight="1">
      <c r="D505" s="18"/>
      <c r="H505" s="19"/>
      <c r="I505" s="12"/>
      <c r="J505" s="13"/>
    </row>
    <row r="506" ht="15.75" customHeight="1">
      <c r="D506" s="18"/>
      <c r="I506" s="12"/>
      <c r="J506" s="13"/>
    </row>
    <row r="507" ht="15.75" customHeight="1">
      <c r="D507" s="18"/>
      <c r="I507" s="12"/>
      <c r="J507" s="16"/>
    </row>
    <row r="508" ht="15.75" customHeight="1">
      <c r="D508" s="18"/>
      <c r="J508" s="13"/>
    </row>
    <row r="509" ht="15.75" customHeight="1">
      <c r="D509" s="18"/>
      <c r="H509" s="19"/>
      <c r="J509" s="16"/>
    </row>
    <row r="510" ht="15.75" customHeight="1">
      <c r="D510" s="18"/>
      <c r="I510" s="12"/>
      <c r="J510" s="13"/>
    </row>
    <row r="511" ht="15.75" customHeight="1">
      <c r="D511" s="18"/>
      <c r="H511" s="19"/>
      <c r="I511" s="12"/>
      <c r="J511" s="13"/>
    </row>
    <row r="512" ht="15.75" customHeight="1">
      <c r="A512" s="20"/>
      <c r="D512" s="18"/>
      <c r="I512" s="12"/>
      <c r="J512" s="16"/>
    </row>
    <row r="513" ht="15.75" customHeight="1">
      <c r="D513" s="18"/>
      <c r="H513" s="19"/>
      <c r="I513" s="12"/>
      <c r="J513" s="16"/>
    </row>
    <row r="514" ht="15.75" customHeight="1">
      <c r="D514" s="18"/>
      <c r="H514" s="19"/>
      <c r="I514" s="12"/>
      <c r="J514" s="16"/>
    </row>
    <row r="515" ht="15.75" customHeight="1">
      <c r="D515" s="18"/>
      <c r="H515" s="19"/>
      <c r="I515" s="12"/>
      <c r="J515" s="13"/>
    </row>
    <row r="516" ht="15.75" customHeight="1">
      <c r="D516" s="18"/>
      <c r="H516" s="19"/>
      <c r="J516" s="16"/>
    </row>
    <row r="517" ht="15.75" customHeight="1">
      <c r="D517" s="18"/>
      <c r="H517" s="19"/>
      <c r="I517" s="12"/>
      <c r="J517" s="13"/>
    </row>
    <row r="518" ht="15.75" customHeight="1">
      <c r="D518" s="18"/>
      <c r="H518" s="19"/>
      <c r="I518" s="12"/>
      <c r="J518" s="16"/>
    </row>
    <row r="519" ht="15.75" customHeight="1">
      <c r="D519" s="18"/>
      <c r="I519" s="12"/>
      <c r="J519" s="16"/>
    </row>
    <row r="520" ht="15.75" customHeight="1">
      <c r="D520" s="18"/>
      <c r="H520" s="19"/>
      <c r="J520" s="16"/>
    </row>
    <row r="521" ht="15.75" customHeight="1">
      <c r="D521" s="18"/>
      <c r="H521" s="19"/>
      <c r="J521" s="16"/>
    </row>
    <row r="522" ht="15.75" customHeight="1">
      <c r="D522" s="18"/>
      <c r="H522" s="19"/>
      <c r="J522" s="13"/>
    </row>
    <row r="523" ht="15.75" customHeight="1">
      <c r="D523" s="18"/>
      <c r="I523" s="12"/>
      <c r="J523" s="13"/>
    </row>
    <row r="524" ht="15.75" customHeight="1">
      <c r="D524" s="18"/>
      <c r="H524" s="19"/>
      <c r="J524" s="16"/>
    </row>
    <row r="525" ht="15.75" customHeight="1">
      <c r="D525" s="18"/>
      <c r="I525" s="12"/>
      <c r="J525" s="13"/>
    </row>
    <row r="526" ht="15.75" customHeight="1">
      <c r="D526" s="18"/>
      <c r="H526" s="19"/>
      <c r="I526" s="12"/>
      <c r="J526" s="13"/>
    </row>
    <row r="527" ht="15.75" customHeight="1">
      <c r="D527" s="18"/>
      <c r="H527" s="19"/>
      <c r="J527" s="13"/>
    </row>
    <row r="528" ht="15.75" customHeight="1">
      <c r="D528" s="18"/>
      <c r="H528" s="19"/>
      <c r="J528" s="16"/>
    </row>
    <row r="529" ht="15.75" customHeight="1">
      <c r="D529" s="18"/>
      <c r="I529" s="12"/>
      <c r="J529" s="16"/>
    </row>
    <row r="530" ht="15.75" customHeight="1">
      <c r="D530" s="18"/>
      <c r="I530" s="12"/>
      <c r="J530" s="13"/>
    </row>
    <row r="531" ht="15.75" customHeight="1">
      <c r="D531" s="18"/>
      <c r="I531" s="12"/>
      <c r="J531" s="13"/>
    </row>
    <row r="532" ht="15.75" customHeight="1">
      <c r="D532" s="18"/>
      <c r="H532" s="19"/>
      <c r="I532" s="12"/>
      <c r="J532" s="16"/>
    </row>
    <row r="533" ht="15.75" customHeight="1">
      <c r="D533" s="18"/>
      <c r="H533" s="19"/>
      <c r="I533" s="12"/>
      <c r="J533" s="16"/>
    </row>
    <row r="534" ht="15.75" customHeight="1">
      <c r="D534" s="18"/>
      <c r="H534" s="19"/>
      <c r="I534" s="12"/>
      <c r="J534" s="16"/>
    </row>
    <row r="535" ht="15.75" customHeight="1">
      <c r="D535" s="18"/>
      <c r="I535" s="12"/>
      <c r="J535" s="16"/>
    </row>
    <row r="536" ht="15.75" customHeight="1">
      <c r="D536" s="18"/>
      <c r="I536" s="12"/>
      <c r="J536" s="16"/>
    </row>
    <row r="537" ht="15.75" customHeight="1">
      <c r="D537" s="18"/>
      <c r="H537" s="19"/>
      <c r="J537" s="16"/>
    </row>
    <row r="538" ht="15.75" customHeight="1">
      <c r="D538" s="18"/>
      <c r="I538" s="12"/>
      <c r="J538" s="16"/>
    </row>
    <row r="539" ht="15.75" customHeight="1">
      <c r="D539" s="18"/>
      <c r="H539" s="19"/>
      <c r="J539" s="13"/>
    </row>
    <row r="540" ht="15.75" customHeight="1">
      <c r="D540" s="18"/>
      <c r="H540" s="19"/>
      <c r="J540" s="16"/>
    </row>
    <row r="541" ht="15.75" customHeight="1">
      <c r="D541" s="18"/>
      <c r="I541" s="12"/>
      <c r="J541" s="13"/>
    </row>
    <row r="542" ht="15.75" customHeight="1">
      <c r="D542" s="18"/>
      <c r="H542" s="19"/>
      <c r="I542" s="12"/>
      <c r="J542" s="13"/>
    </row>
    <row r="543" ht="15.75" customHeight="1">
      <c r="A543" s="20"/>
      <c r="D543" s="18"/>
      <c r="H543" s="19"/>
      <c r="I543" s="12"/>
      <c r="J543" s="16"/>
    </row>
    <row r="544" ht="15.75" customHeight="1">
      <c r="D544" s="18"/>
      <c r="H544" s="19"/>
      <c r="I544" s="12"/>
      <c r="J544" s="16"/>
    </row>
    <row r="545" ht="15.75" customHeight="1">
      <c r="D545" s="18"/>
      <c r="H545" s="19"/>
      <c r="I545" s="12"/>
      <c r="J545" s="16"/>
    </row>
    <row r="546" ht="15.75" customHeight="1">
      <c r="D546" s="18"/>
      <c r="H546" s="19"/>
      <c r="I546" s="12"/>
      <c r="J546" s="16"/>
    </row>
    <row r="547" ht="15.75" customHeight="1">
      <c r="D547" s="18"/>
      <c r="H547" s="19"/>
      <c r="I547" s="12"/>
      <c r="J547" s="16"/>
    </row>
    <row r="548" ht="15.75" customHeight="1">
      <c r="A548" s="20"/>
      <c r="D548" s="18"/>
      <c r="H548" s="19"/>
      <c r="I548" s="12"/>
      <c r="J548" s="16"/>
    </row>
    <row r="549" ht="15.75" customHeight="1">
      <c r="A549" s="20"/>
      <c r="D549" s="18"/>
      <c r="H549" s="19"/>
      <c r="J549" s="16"/>
    </row>
    <row r="550" ht="15.75" customHeight="1">
      <c r="D550" s="18"/>
      <c r="H550" s="19"/>
      <c r="J550" s="16"/>
    </row>
    <row r="551" ht="15.75" customHeight="1">
      <c r="D551" s="18"/>
      <c r="H551" s="19"/>
      <c r="J551" s="16"/>
    </row>
    <row r="552" ht="15.75" customHeight="1">
      <c r="D552" s="18"/>
      <c r="I552" s="12"/>
      <c r="J552" s="13"/>
    </row>
    <row r="553" ht="15.75" customHeight="1">
      <c r="D553" s="18"/>
      <c r="J553" s="13"/>
    </row>
    <row r="554" ht="15.75" customHeight="1">
      <c r="D554" s="18"/>
      <c r="H554" s="19"/>
      <c r="I554" s="12"/>
      <c r="J554" s="16"/>
    </row>
    <row r="555" ht="15.75" customHeight="1">
      <c r="A555" s="20"/>
      <c r="D555" s="18"/>
      <c r="H555" s="19"/>
      <c r="I555" s="12"/>
      <c r="J555" s="16"/>
    </row>
    <row r="556" ht="15.75" customHeight="1">
      <c r="D556" s="18"/>
      <c r="I556" s="12"/>
      <c r="J556" s="13"/>
    </row>
    <row r="557" ht="15.75" customHeight="1">
      <c r="D557" s="18"/>
      <c r="I557" s="12"/>
      <c r="J557" s="13"/>
    </row>
    <row r="558" ht="15.75" customHeight="1">
      <c r="D558" s="18"/>
      <c r="H558" s="19"/>
      <c r="J558" s="16"/>
    </row>
    <row r="559" ht="15.75" customHeight="1">
      <c r="D559" s="18"/>
      <c r="H559" s="19"/>
      <c r="I559" s="12"/>
      <c r="J559" s="16"/>
    </row>
    <row r="560" ht="15.75" customHeight="1">
      <c r="D560" s="18"/>
      <c r="J560" s="13"/>
    </row>
    <row r="561" ht="15.75" customHeight="1">
      <c r="D561" s="18"/>
      <c r="H561" s="19"/>
      <c r="I561" s="12"/>
      <c r="J561" s="16"/>
    </row>
    <row r="562" ht="15.75" customHeight="1">
      <c r="D562" s="18"/>
      <c r="H562" s="19"/>
      <c r="I562" s="12"/>
      <c r="J562" s="16"/>
    </row>
    <row r="563" ht="15.75" customHeight="1">
      <c r="D563" s="18"/>
      <c r="H563" s="19"/>
      <c r="J563" s="16"/>
    </row>
    <row r="564" ht="15.75" customHeight="1">
      <c r="D564" s="18"/>
      <c r="H564" s="19"/>
      <c r="J564" s="13"/>
    </row>
    <row r="565" ht="15.75" customHeight="1">
      <c r="D565" s="18"/>
      <c r="H565" s="19"/>
      <c r="J565" s="13"/>
    </row>
    <row r="566" ht="15.75" customHeight="1">
      <c r="D566" s="18"/>
      <c r="H566" s="19"/>
      <c r="J566" s="16"/>
    </row>
    <row r="567" ht="15.75" customHeight="1">
      <c r="D567" s="18"/>
      <c r="I567" s="12"/>
      <c r="J567" s="13"/>
    </row>
    <row r="568" ht="15.75" customHeight="1">
      <c r="A568" s="20"/>
      <c r="D568" s="18"/>
      <c r="I568" s="12"/>
      <c r="J568" s="13"/>
    </row>
    <row r="569" ht="15.75" customHeight="1">
      <c r="D569" s="18"/>
      <c r="I569" s="12"/>
      <c r="J569" s="13"/>
    </row>
    <row r="570" ht="15.75" customHeight="1">
      <c r="D570" s="18"/>
      <c r="J570" s="13"/>
    </row>
    <row r="571" ht="15.75" customHeight="1">
      <c r="A571" s="20"/>
      <c r="D571" s="18"/>
      <c r="H571" s="19"/>
      <c r="I571" s="12"/>
      <c r="J571" s="13"/>
    </row>
    <row r="572" ht="15.75" customHeight="1">
      <c r="D572" s="18"/>
      <c r="H572" s="19"/>
      <c r="J572" s="16"/>
    </row>
    <row r="573" ht="15.75" customHeight="1">
      <c r="D573" s="18"/>
      <c r="I573" s="12"/>
      <c r="J573" s="13"/>
    </row>
    <row r="574" ht="15.75" customHeight="1">
      <c r="D574" s="18"/>
      <c r="I574" s="12"/>
      <c r="J574" s="13"/>
    </row>
    <row r="575" ht="15.75" customHeight="1">
      <c r="D575" s="18"/>
      <c r="H575" s="19"/>
      <c r="J575" s="16"/>
    </row>
    <row r="576" ht="15.75" customHeight="1">
      <c r="A576" s="20"/>
      <c r="D576" s="18"/>
      <c r="H576" s="19"/>
      <c r="J576" s="16"/>
    </row>
    <row r="577" ht="15.75" customHeight="1">
      <c r="D577" s="18"/>
      <c r="H577" s="19"/>
      <c r="I577" s="12"/>
      <c r="J577" s="16"/>
    </row>
    <row r="578" ht="15.75" customHeight="1">
      <c r="D578" s="18"/>
      <c r="H578" s="19"/>
      <c r="I578" s="12"/>
      <c r="J578" s="16"/>
    </row>
    <row r="579" ht="15.75" customHeight="1">
      <c r="D579" s="18"/>
      <c r="J579" s="16"/>
    </row>
    <row r="580" ht="15.75" customHeight="1">
      <c r="A580" s="20"/>
      <c r="D580" s="18"/>
      <c r="I580" s="12"/>
      <c r="J580" s="13"/>
    </row>
    <row r="581" ht="15.75" customHeight="1">
      <c r="D581" s="18"/>
      <c r="H581" s="19"/>
      <c r="J581" s="16"/>
    </row>
    <row r="582" ht="15.75" customHeight="1">
      <c r="D582" s="18"/>
      <c r="H582" s="19"/>
      <c r="J582" s="16"/>
    </row>
    <row r="583" ht="15.75" customHeight="1">
      <c r="D583" s="18"/>
      <c r="I583" s="12"/>
      <c r="J583" s="13"/>
    </row>
    <row r="584" ht="15.75" customHeight="1">
      <c r="D584" s="18"/>
      <c r="I584" s="12"/>
      <c r="J584" s="13"/>
    </row>
    <row r="585" ht="15.75" customHeight="1">
      <c r="D585" s="18"/>
      <c r="H585" s="19"/>
      <c r="I585" s="12"/>
      <c r="J585" s="13"/>
    </row>
    <row r="586" ht="15.75" customHeight="1">
      <c r="D586" s="18"/>
      <c r="H586" s="19"/>
      <c r="I586" s="12"/>
      <c r="J586" s="16"/>
    </row>
    <row r="587" ht="15.75" customHeight="1">
      <c r="D587" s="18"/>
      <c r="I587" s="12"/>
      <c r="J587" s="13"/>
    </row>
    <row r="588" ht="15.75" customHeight="1">
      <c r="D588" s="18"/>
      <c r="H588" s="19"/>
      <c r="J588" s="16"/>
    </row>
    <row r="589" ht="15.75" customHeight="1">
      <c r="D589" s="18"/>
      <c r="H589" s="19"/>
      <c r="I589" s="12"/>
      <c r="J589" s="13"/>
    </row>
    <row r="590" ht="15.75" customHeight="1">
      <c r="D590" s="18"/>
      <c r="H590" s="19"/>
      <c r="I590" s="12"/>
      <c r="J590" s="16"/>
    </row>
    <row r="591" ht="15.75" customHeight="1">
      <c r="D591" s="18"/>
      <c r="H591" s="19"/>
      <c r="I591" s="12"/>
      <c r="J591" s="13"/>
    </row>
    <row r="592" ht="15.75" customHeight="1">
      <c r="A592" s="20"/>
      <c r="D592" s="18"/>
      <c r="I592" s="12"/>
      <c r="J592" s="13"/>
    </row>
    <row r="593" ht="15.75" customHeight="1">
      <c r="D593" s="18"/>
      <c r="I593" s="12"/>
      <c r="J593" s="13"/>
    </row>
    <row r="594" ht="15.75" customHeight="1">
      <c r="D594" s="18"/>
      <c r="I594" s="12"/>
      <c r="J594" s="16"/>
    </row>
    <row r="595" ht="15.75" customHeight="1">
      <c r="D595" s="18"/>
      <c r="I595" s="12"/>
      <c r="J595" s="13"/>
    </row>
    <row r="596" ht="15.75" customHeight="1">
      <c r="A596" s="20"/>
      <c r="D596" s="18"/>
      <c r="I596" s="12"/>
      <c r="J596" s="13"/>
    </row>
    <row r="597" ht="15.75" customHeight="1">
      <c r="D597" s="18"/>
      <c r="I597" s="12"/>
      <c r="J597" s="13"/>
    </row>
    <row r="598" ht="15.75" customHeight="1">
      <c r="D598" s="18"/>
      <c r="H598" s="19"/>
      <c r="J598" s="13"/>
    </row>
    <row r="599" ht="15.75" customHeight="1">
      <c r="D599" s="18"/>
      <c r="H599" s="19"/>
      <c r="I599" s="12"/>
      <c r="J599" s="16"/>
    </row>
    <row r="600" ht="15.75" customHeight="1">
      <c r="D600" s="18"/>
      <c r="H600" s="19"/>
      <c r="J600" s="16"/>
    </row>
    <row r="601" ht="15.75" customHeight="1">
      <c r="D601" s="18"/>
      <c r="I601" s="12"/>
      <c r="J601" s="13"/>
    </row>
    <row r="602" ht="15.75" customHeight="1">
      <c r="A602" s="20"/>
      <c r="D602" s="18"/>
      <c r="I602" s="12"/>
      <c r="J602" s="13"/>
    </row>
    <row r="603" ht="15.75" customHeight="1">
      <c r="A603" s="20"/>
      <c r="D603" s="18"/>
      <c r="I603" s="12"/>
      <c r="J603" s="16"/>
    </row>
    <row r="604" ht="15.75" customHeight="1">
      <c r="D604" s="18"/>
      <c r="H604" s="19"/>
      <c r="I604" s="12"/>
      <c r="J604" s="13"/>
    </row>
    <row r="605" ht="15.75" customHeight="1">
      <c r="D605" s="18"/>
      <c r="H605" s="19"/>
      <c r="J605" s="13"/>
    </row>
    <row r="606" ht="15.75" customHeight="1">
      <c r="D606" s="18"/>
      <c r="H606" s="19"/>
      <c r="J606" s="16"/>
    </row>
    <row r="607" ht="15.75" customHeight="1">
      <c r="D607" s="18"/>
      <c r="H607" s="19"/>
      <c r="I607" s="12"/>
      <c r="J607" s="13"/>
    </row>
    <row r="608" ht="15.75" customHeight="1">
      <c r="D608" s="18"/>
      <c r="I608" s="12"/>
      <c r="J608" s="13"/>
    </row>
    <row r="609" ht="15.75" customHeight="1">
      <c r="D609" s="18"/>
      <c r="J609" s="13"/>
    </row>
    <row r="610" ht="15.75" customHeight="1">
      <c r="D610" s="18"/>
      <c r="H610" s="19"/>
      <c r="J610" s="16"/>
    </row>
    <row r="611" ht="15.75" customHeight="1">
      <c r="D611" s="18"/>
      <c r="I611" s="12"/>
      <c r="J611" s="13"/>
    </row>
    <row r="612" ht="15.75" customHeight="1">
      <c r="D612" s="18"/>
      <c r="H612" s="19"/>
      <c r="J612" s="16"/>
    </row>
    <row r="613" ht="15.75" customHeight="1">
      <c r="D613" s="18"/>
      <c r="H613" s="19"/>
      <c r="J613" s="16"/>
    </row>
    <row r="614" ht="15.75" customHeight="1">
      <c r="D614" s="18"/>
      <c r="H614" s="19"/>
      <c r="J614" s="16"/>
    </row>
    <row r="615" ht="15.75" customHeight="1">
      <c r="D615" s="18"/>
      <c r="H615" s="19"/>
      <c r="J615" s="16"/>
    </row>
    <row r="616" ht="15.75" customHeight="1">
      <c r="D616" s="18"/>
      <c r="H616" s="19"/>
      <c r="I616" s="12"/>
      <c r="J616" s="13"/>
    </row>
    <row r="617" ht="15.75" customHeight="1">
      <c r="D617" s="18"/>
      <c r="H617" s="19"/>
      <c r="J617" s="16"/>
    </row>
    <row r="618" ht="15.75" customHeight="1">
      <c r="D618" s="18"/>
      <c r="H618" s="19"/>
      <c r="J618" s="16"/>
    </row>
    <row r="619" ht="15.75" customHeight="1">
      <c r="D619" s="18"/>
      <c r="H619" s="19"/>
      <c r="I619" s="12"/>
      <c r="J619" s="13"/>
    </row>
    <row r="620" ht="15.75" customHeight="1">
      <c r="D620" s="18"/>
      <c r="H620" s="19"/>
      <c r="I620" s="12"/>
      <c r="J620" s="13"/>
    </row>
    <row r="621" ht="15.75" customHeight="1">
      <c r="D621" s="18"/>
      <c r="H621" s="19"/>
      <c r="I621" s="12"/>
      <c r="J621" s="16"/>
    </row>
    <row r="622" ht="15.75" customHeight="1">
      <c r="D622" s="18"/>
      <c r="H622" s="19"/>
      <c r="I622" s="12"/>
      <c r="J622" s="16"/>
    </row>
    <row r="623" ht="15.75" customHeight="1">
      <c r="D623" s="18"/>
      <c r="H623" s="19"/>
      <c r="I623" s="12"/>
      <c r="J623" s="16"/>
    </row>
    <row r="624" ht="15.75" customHeight="1">
      <c r="D624" s="18"/>
      <c r="H624" s="19"/>
      <c r="I624" s="12"/>
      <c r="J624" s="16"/>
    </row>
    <row r="625" ht="15.75" customHeight="1">
      <c r="D625" s="18"/>
      <c r="H625" s="19"/>
      <c r="J625" s="16"/>
    </row>
    <row r="626" ht="15.75" customHeight="1">
      <c r="A626" s="20"/>
      <c r="D626" s="18"/>
      <c r="J626" s="16"/>
    </row>
    <row r="627" ht="15.75" customHeight="1">
      <c r="D627" s="18"/>
      <c r="H627" s="19"/>
      <c r="I627" s="12"/>
      <c r="J627" s="13"/>
    </row>
    <row r="628" ht="15.75" customHeight="1">
      <c r="D628" s="18"/>
      <c r="I628" s="12"/>
      <c r="J628" s="13"/>
    </row>
    <row r="629" ht="15.75" customHeight="1">
      <c r="D629" s="18"/>
      <c r="H629" s="19"/>
      <c r="I629" s="12"/>
      <c r="J629" s="16"/>
    </row>
    <row r="630" ht="15.75" customHeight="1">
      <c r="D630" s="18"/>
      <c r="I630" s="12"/>
      <c r="J630" s="13"/>
    </row>
    <row r="631" ht="15.75" customHeight="1">
      <c r="D631" s="18"/>
      <c r="H631" s="19"/>
      <c r="J631" s="13"/>
    </row>
    <row r="632" ht="15.75" customHeight="1">
      <c r="D632" s="18"/>
      <c r="H632" s="19"/>
      <c r="J632" s="13"/>
    </row>
    <row r="633" ht="15.75" customHeight="1">
      <c r="D633" s="18"/>
      <c r="H633" s="19"/>
      <c r="I633" s="12"/>
      <c r="J633" s="16"/>
    </row>
    <row r="634" ht="15.75" customHeight="1">
      <c r="D634" s="18"/>
      <c r="J634" s="13"/>
    </row>
    <row r="635" ht="15.75" customHeight="1">
      <c r="D635" s="18"/>
      <c r="I635" s="12"/>
      <c r="J635" s="13"/>
    </row>
    <row r="636" ht="15.75" customHeight="1">
      <c r="D636" s="18"/>
      <c r="J636" s="13"/>
    </row>
    <row r="637" ht="15.75" customHeight="1">
      <c r="D637" s="18"/>
      <c r="H637" s="19"/>
      <c r="I637" s="12"/>
      <c r="J637" s="13"/>
    </row>
    <row r="638" ht="15.75" customHeight="1">
      <c r="D638" s="18"/>
      <c r="J638" s="13"/>
    </row>
    <row r="639" ht="15.75" customHeight="1">
      <c r="D639" s="18"/>
      <c r="H639" s="19"/>
      <c r="J639" s="13"/>
    </row>
    <row r="640" ht="15.75" customHeight="1">
      <c r="D640" s="18"/>
      <c r="H640" s="19"/>
      <c r="J640" s="16"/>
    </row>
    <row r="641" ht="15.75" customHeight="1">
      <c r="D641" s="18"/>
      <c r="H641" s="19"/>
      <c r="I641" s="12"/>
      <c r="J641" s="16"/>
    </row>
    <row r="642" ht="15.75" customHeight="1">
      <c r="D642" s="18"/>
      <c r="H642" s="19"/>
      <c r="I642" s="12"/>
      <c r="J642" s="16"/>
    </row>
    <row r="643" ht="15.75" customHeight="1">
      <c r="D643" s="18"/>
      <c r="H643" s="19"/>
      <c r="J643" s="16"/>
    </row>
    <row r="644" ht="15.75" customHeight="1">
      <c r="A644" s="20"/>
      <c r="D644" s="18"/>
      <c r="H644" s="19"/>
      <c r="I644" s="12"/>
      <c r="J644" s="13"/>
    </row>
    <row r="645" ht="15.75" customHeight="1">
      <c r="A645" s="20"/>
      <c r="D645" s="18"/>
      <c r="H645" s="19"/>
      <c r="J645" s="13"/>
    </row>
    <row r="646" ht="15.75" customHeight="1">
      <c r="D646" s="18"/>
      <c r="H646" s="19"/>
      <c r="J646" s="13"/>
    </row>
    <row r="647" ht="15.75" customHeight="1">
      <c r="A647" s="20"/>
      <c r="D647" s="18"/>
      <c r="H647" s="19"/>
      <c r="I647" s="12"/>
      <c r="J647" s="16"/>
    </row>
    <row r="648" ht="15.75" customHeight="1">
      <c r="D648" s="18"/>
      <c r="H648" s="19"/>
      <c r="I648" s="12"/>
      <c r="J648" s="16"/>
    </row>
    <row r="649" ht="15.75" customHeight="1">
      <c r="D649" s="18"/>
      <c r="J649" s="13"/>
    </row>
    <row r="650" ht="15.75" customHeight="1">
      <c r="D650" s="18"/>
      <c r="H650" s="19"/>
      <c r="I650" s="12"/>
      <c r="J650" s="16"/>
    </row>
    <row r="651" ht="15.75" customHeight="1">
      <c r="D651" s="18"/>
      <c r="H651" s="19"/>
      <c r="J651" s="13"/>
    </row>
    <row r="652" ht="15.75" customHeight="1">
      <c r="D652" s="18"/>
      <c r="H652" s="19"/>
      <c r="J652" s="16"/>
    </row>
    <row r="653" ht="15.75" customHeight="1">
      <c r="D653" s="18"/>
      <c r="H653" s="19"/>
      <c r="J653" s="16"/>
    </row>
    <row r="654" ht="15.75" customHeight="1">
      <c r="D654" s="18"/>
      <c r="H654" s="19"/>
      <c r="J654" s="16"/>
    </row>
    <row r="655" ht="15.75" customHeight="1">
      <c r="D655" s="18"/>
      <c r="H655" s="19"/>
      <c r="J655" s="16"/>
    </row>
    <row r="656" ht="15.75" customHeight="1">
      <c r="D656" s="18"/>
      <c r="H656" s="19"/>
      <c r="J656" s="16"/>
    </row>
    <row r="657" ht="15.75" customHeight="1">
      <c r="D657" s="18"/>
      <c r="H657" s="19"/>
      <c r="I657" s="12"/>
      <c r="J657" s="16"/>
    </row>
    <row r="658" ht="15.75" customHeight="1">
      <c r="A658" s="20"/>
      <c r="D658" s="18"/>
      <c r="H658" s="19"/>
      <c r="J658" s="16"/>
    </row>
    <row r="659" ht="15.75" customHeight="1">
      <c r="D659" s="18"/>
      <c r="I659" s="12"/>
      <c r="J659" s="16"/>
    </row>
    <row r="660" ht="15.75" customHeight="1">
      <c r="D660" s="18"/>
      <c r="H660" s="19"/>
      <c r="I660" s="12"/>
      <c r="J660" s="16"/>
    </row>
    <row r="661" ht="15.75" customHeight="1">
      <c r="D661" s="18"/>
      <c r="J661" s="13"/>
    </row>
    <row r="662" ht="15.75" customHeight="1">
      <c r="D662" s="18"/>
      <c r="H662" s="19"/>
      <c r="J662" s="13"/>
    </row>
    <row r="663" ht="15.75" customHeight="1">
      <c r="A663" s="20"/>
      <c r="D663" s="18"/>
      <c r="J663" s="16"/>
    </row>
    <row r="664" ht="15.75" customHeight="1">
      <c r="D664" s="18"/>
      <c r="J664" s="13"/>
    </row>
    <row r="665" ht="15.75" customHeight="1">
      <c r="D665" s="18"/>
      <c r="I665" s="12"/>
      <c r="J665" s="13"/>
    </row>
    <row r="666" ht="15.75" customHeight="1">
      <c r="A666" s="20"/>
      <c r="D666" s="18"/>
      <c r="H666" s="19"/>
      <c r="I666" s="12"/>
      <c r="J666" s="13"/>
    </row>
    <row r="667" ht="15.75" customHeight="1">
      <c r="D667" s="18"/>
      <c r="I667" s="12"/>
      <c r="J667" s="16"/>
    </row>
    <row r="668" ht="15.75" customHeight="1">
      <c r="D668" s="18"/>
      <c r="H668" s="19"/>
      <c r="J668" s="16"/>
    </row>
    <row r="669" ht="15.75" customHeight="1">
      <c r="D669" s="18"/>
      <c r="H669" s="19"/>
      <c r="I669" s="12"/>
      <c r="J669" s="13"/>
    </row>
    <row r="670" ht="15.75" customHeight="1">
      <c r="D670" s="18"/>
      <c r="H670" s="19"/>
      <c r="I670" s="12"/>
      <c r="J670" s="16"/>
    </row>
    <row r="671" ht="15.75" customHeight="1">
      <c r="D671" s="18"/>
      <c r="I671" s="12"/>
      <c r="J671" s="13"/>
    </row>
    <row r="672" ht="15.75" customHeight="1">
      <c r="D672" s="18"/>
      <c r="J672" s="16"/>
    </row>
    <row r="673" ht="15.75" customHeight="1">
      <c r="D673" s="18"/>
      <c r="H673" s="19"/>
      <c r="I673" s="12"/>
      <c r="J673" s="16"/>
    </row>
    <row r="674" ht="15.75" customHeight="1">
      <c r="D674" s="18"/>
      <c r="J674" s="13"/>
    </row>
    <row r="675" ht="15.75" customHeight="1">
      <c r="D675" s="18"/>
      <c r="H675" s="19"/>
      <c r="I675" s="12"/>
      <c r="J675" s="16"/>
    </row>
    <row r="676" ht="15.75" customHeight="1">
      <c r="D676" s="18"/>
      <c r="I676" s="12"/>
      <c r="J676" s="16"/>
    </row>
    <row r="677" ht="15.75" customHeight="1">
      <c r="D677" s="18"/>
      <c r="H677" s="19"/>
      <c r="I677" s="12"/>
      <c r="J677" s="16"/>
    </row>
    <row r="678" ht="15.75" customHeight="1">
      <c r="D678" s="18"/>
      <c r="H678" s="19"/>
      <c r="I678" s="12"/>
      <c r="J678" s="16"/>
    </row>
    <row r="679" ht="15.75" customHeight="1">
      <c r="D679" s="18"/>
      <c r="H679" s="19"/>
      <c r="I679" s="12"/>
      <c r="J679" s="16"/>
    </row>
    <row r="680" ht="15.75" customHeight="1">
      <c r="D680" s="18"/>
      <c r="H680" s="19"/>
      <c r="J680" s="16"/>
    </row>
    <row r="681" ht="15.75" customHeight="1">
      <c r="D681" s="18"/>
      <c r="H681" s="19"/>
      <c r="J681" s="16"/>
    </row>
    <row r="682" ht="15.75" customHeight="1">
      <c r="D682" s="18"/>
      <c r="H682" s="19"/>
      <c r="J682" s="16"/>
    </row>
    <row r="683" ht="15.75" customHeight="1">
      <c r="D683" s="18"/>
      <c r="H683" s="19"/>
      <c r="I683" s="12"/>
      <c r="J683" s="16"/>
    </row>
    <row r="684" ht="15.75" customHeight="1">
      <c r="D684" s="18"/>
      <c r="H684" s="19"/>
      <c r="I684" s="12"/>
      <c r="J684" s="16"/>
    </row>
    <row r="685" ht="15.75" customHeight="1">
      <c r="D685" s="18"/>
      <c r="H685" s="19"/>
      <c r="J685" s="13"/>
    </row>
    <row r="686" ht="15.75" customHeight="1">
      <c r="A686" s="20"/>
      <c r="D686" s="18"/>
      <c r="H686" s="19"/>
      <c r="I686" s="12"/>
      <c r="J686" s="16"/>
    </row>
    <row r="687" ht="15.75" customHeight="1">
      <c r="D687" s="18"/>
      <c r="H687" s="19"/>
      <c r="I687" s="12"/>
      <c r="J687" s="13"/>
    </row>
    <row r="688" ht="15.75" customHeight="1">
      <c r="D688" s="18"/>
      <c r="I688" s="12"/>
      <c r="J688" s="13"/>
    </row>
    <row r="689" ht="15.75" customHeight="1">
      <c r="D689" s="18"/>
      <c r="H689" s="19"/>
      <c r="I689" s="12"/>
      <c r="J689" s="13"/>
    </row>
    <row r="690" ht="15.75" customHeight="1">
      <c r="D690" s="18"/>
      <c r="I690" s="12"/>
      <c r="J690" s="13"/>
    </row>
    <row r="691" ht="15.75" customHeight="1">
      <c r="D691" s="18"/>
      <c r="I691" s="12"/>
      <c r="J691" s="13"/>
    </row>
    <row r="692" ht="15.75" customHeight="1">
      <c r="D692" s="18"/>
      <c r="H692" s="19"/>
      <c r="I692" s="12"/>
      <c r="J692" s="13"/>
    </row>
    <row r="693" ht="15.75" customHeight="1">
      <c r="D693" s="18"/>
      <c r="I693" s="12"/>
      <c r="J693" s="13"/>
    </row>
    <row r="694" ht="15.75" customHeight="1">
      <c r="D694" s="18"/>
      <c r="J694" s="13"/>
    </row>
    <row r="695" ht="15.75" customHeight="1">
      <c r="D695" s="18"/>
      <c r="H695" s="19"/>
      <c r="J695" s="13"/>
    </row>
    <row r="696" ht="15.75" customHeight="1">
      <c r="D696" s="18"/>
      <c r="H696" s="19"/>
      <c r="I696" s="12"/>
      <c r="J696" s="13"/>
    </row>
    <row r="697" ht="15.75" customHeight="1">
      <c r="A697" s="20"/>
      <c r="D697" s="18"/>
      <c r="H697" s="19"/>
      <c r="I697" s="12"/>
      <c r="J697" s="13"/>
    </row>
    <row r="698" ht="15.75" customHeight="1">
      <c r="D698" s="18"/>
      <c r="H698" s="19"/>
      <c r="J698" s="16"/>
    </row>
    <row r="699" ht="15.75" customHeight="1">
      <c r="D699" s="18"/>
      <c r="I699" s="12"/>
      <c r="J699" s="13"/>
    </row>
    <row r="700" ht="15.75" customHeight="1">
      <c r="D700" s="18"/>
      <c r="H700" s="19"/>
      <c r="J700" s="13"/>
    </row>
    <row r="701" ht="15.75" customHeight="1">
      <c r="D701" s="18"/>
      <c r="H701" s="19"/>
      <c r="I701" s="12"/>
      <c r="J701" s="13"/>
    </row>
    <row r="702" ht="15.75" customHeight="1">
      <c r="D702" s="18"/>
      <c r="H702" s="19"/>
      <c r="J702" s="16"/>
    </row>
    <row r="703" ht="15.75" customHeight="1">
      <c r="D703" s="18"/>
      <c r="H703" s="19"/>
      <c r="J703" s="13"/>
    </row>
    <row r="704" ht="15.75" customHeight="1">
      <c r="D704" s="18"/>
      <c r="I704" s="12"/>
      <c r="J704" s="13"/>
    </row>
    <row r="705" ht="15.75" customHeight="1">
      <c r="D705" s="18"/>
      <c r="I705" s="12"/>
      <c r="J705" s="13"/>
    </row>
    <row r="706" ht="15.75" customHeight="1">
      <c r="A706" s="20"/>
      <c r="D706" s="18"/>
      <c r="I706" s="12"/>
      <c r="J706" s="13"/>
    </row>
    <row r="707" ht="15.75" customHeight="1">
      <c r="D707" s="18"/>
      <c r="J707" s="13"/>
    </row>
    <row r="708" ht="15.75" customHeight="1">
      <c r="D708" s="18"/>
      <c r="H708" s="19"/>
      <c r="J708" s="13"/>
    </row>
    <row r="709" ht="15.75" customHeight="1">
      <c r="A709" s="20"/>
      <c r="D709" s="18"/>
      <c r="I709" s="12"/>
      <c r="J709" s="13"/>
    </row>
    <row r="710" ht="15.75" customHeight="1">
      <c r="A710" s="20"/>
      <c r="D710" s="18"/>
      <c r="I710" s="12"/>
      <c r="J710" s="13"/>
    </row>
    <row r="711" ht="15.75" customHeight="1">
      <c r="D711" s="18"/>
      <c r="I711" s="12"/>
      <c r="J711" s="13"/>
    </row>
    <row r="712" ht="15.75" customHeight="1">
      <c r="D712" s="18"/>
      <c r="H712" s="19"/>
      <c r="I712" s="12"/>
      <c r="J712" s="13"/>
    </row>
    <row r="713" ht="15.75" customHeight="1">
      <c r="D713" s="18"/>
      <c r="H713" s="19"/>
      <c r="I713" s="12"/>
      <c r="J713" s="13"/>
    </row>
    <row r="714" ht="15.75" customHeight="1">
      <c r="D714" s="18"/>
      <c r="J714" s="13"/>
    </row>
    <row r="715" ht="15.75" customHeight="1">
      <c r="D715" s="18"/>
      <c r="H715" s="19"/>
      <c r="I715" s="12"/>
      <c r="J715" s="13"/>
    </row>
    <row r="716" ht="15.75" customHeight="1">
      <c r="D716" s="18"/>
      <c r="H716" s="19"/>
      <c r="I716" s="12"/>
      <c r="J716" s="13"/>
    </row>
    <row r="717" ht="15.75" customHeight="1">
      <c r="D717" s="18"/>
      <c r="I717" s="12"/>
      <c r="J717" s="13"/>
    </row>
    <row r="718" ht="15.75" customHeight="1">
      <c r="D718" s="18"/>
      <c r="H718" s="19"/>
      <c r="I718" s="12"/>
      <c r="J718" s="13"/>
    </row>
    <row r="719" ht="15.75" customHeight="1">
      <c r="D719" s="18"/>
      <c r="H719" s="19"/>
      <c r="I719" s="12"/>
      <c r="J719" s="16"/>
    </row>
    <row r="720" ht="15.75" customHeight="1">
      <c r="D720" s="18"/>
      <c r="H720" s="19"/>
      <c r="I720" s="12"/>
      <c r="J720" s="16"/>
    </row>
    <row r="721" ht="15.75" customHeight="1">
      <c r="D721" s="18"/>
      <c r="H721" s="19"/>
      <c r="I721" s="12"/>
      <c r="J721" s="16"/>
    </row>
    <row r="722" ht="15.75" customHeight="1">
      <c r="D722" s="18"/>
      <c r="H722" s="19"/>
      <c r="I722" s="12"/>
      <c r="J722" s="13"/>
    </row>
    <row r="723" ht="15.75" customHeight="1">
      <c r="D723" s="18"/>
      <c r="I723" s="12"/>
      <c r="J723" s="16"/>
    </row>
    <row r="724" ht="15.75" customHeight="1">
      <c r="D724" s="18"/>
      <c r="H724" s="19"/>
      <c r="I724" s="12"/>
      <c r="J724" s="16"/>
    </row>
    <row r="725" ht="15.75" customHeight="1">
      <c r="D725" s="18"/>
      <c r="H725" s="19"/>
      <c r="J725" s="16"/>
    </row>
    <row r="726" ht="15.75" customHeight="1">
      <c r="D726" s="18"/>
      <c r="H726" s="19"/>
      <c r="I726" s="12"/>
      <c r="J726" s="16"/>
    </row>
    <row r="727" ht="15.75" customHeight="1">
      <c r="D727" s="18"/>
      <c r="H727" s="19"/>
      <c r="J727" s="13"/>
    </row>
    <row r="728" ht="15.75" customHeight="1">
      <c r="D728" s="18"/>
      <c r="H728" s="19"/>
      <c r="I728" s="12"/>
      <c r="J728" s="13"/>
    </row>
    <row r="729" ht="15.75" customHeight="1">
      <c r="D729" s="18"/>
      <c r="H729" s="19"/>
      <c r="J729" s="16"/>
    </row>
    <row r="730" ht="15.75" customHeight="1">
      <c r="A730" s="20"/>
      <c r="H730" s="19"/>
      <c r="I730" s="12"/>
      <c r="J730" s="16"/>
    </row>
    <row r="731" ht="15.75" customHeight="1">
      <c r="D731" s="18"/>
      <c r="J731" s="13"/>
    </row>
    <row r="732" ht="15.75" customHeight="1">
      <c r="D732" s="18"/>
      <c r="I732" s="12"/>
      <c r="J732" s="13"/>
    </row>
    <row r="733" ht="15.75" customHeight="1">
      <c r="D733" s="18"/>
      <c r="I733" s="12"/>
      <c r="J733" s="13"/>
    </row>
    <row r="734" ht="15.75" customHeight="1">
      <c r="A734" s="20"/>
      <c r="D734" s="18"/>
      <c r="I734" s="12"/>
      <c r="J734" s="16"/>
    </row>
    <row r="735" ht="15.75" customHeight="1">
      <c r="D735" s="18"/>
      <c r="H735" s="19"/>
      <c r="I735" s="12"/>
      <c r="J735" s="16"/>
    </row>
    <row r="736" ht="15.75" customHeight="1">
      <c r="D736" s="18"/>
      <c r="H736" s="19"/>
      <c r="J736" s="13"/>
    </row>
    <row r="737" ht="15.75" customHeight="1">
      <c r="D737" s="18"/>
      <c r="H737" s="19"/>
      <c r="I737" s="12"/>
      <c r="J737" s="13"/>
    </row>
    <row r="738" ht="15.75" customHeight="1">
      <c r="D738" s="18"/>
      <c r="H738" s="19"/>
      <c r="I738" s="12"/>
      <c r="J738" s="16"/>
    </row>
    <row r="739" ht="15.75" customHeight="1">
      <c r="D739" s="18"/>
      <c r="H739" s="19"/>
      <c r="I739" s="12"/>
      <c r="J739" s="16"/>
    </row>
    <row r="740" ht="15.75" customHeight="1">
      <c r="D740" s="18"/>
      <c r="H740" s="19"/>
      <c r="J740" s="13"/>
    </row>
    <row r="741" ht="15.75" customHeight="1">
      <c r="D741" s="18"/>
      <c r="H741" s="19"/>
      <c r="I741" s="12"/>
      <c r="J741" s="13"/>
    </row>
    <row r="742" ht="15.75" customHeight="1">
      <c r="D742" s="18"/>
      <c r="H742" s="19"/>
      <c r="I742" s="12"/>
      <c r="J742" s="16"/>
    </row>
    <row r="743" ht="15.75" customHeight="1">
      <c r="A743" s="20"/>
      <c r="D743" s="18"/>
      <c r="H743" s="19"/>
      <c r="I743" s="12"/>
      <c r="J743" s="16"/>
    </row>
    <row r="744" ht="15.75" customHeight="1">
      <c r="D744" s="18"/>
      <c r="H744" s="19"/>
      <c r="J744" s="16"/>
    </row>
    <row r="745" ht="15.75" customHeight="1">
      <c r="D745" s="18"/>
      <c r="H745" s="19"/>
      <c r="J745" s="16"/>
    </row>
    <row r="746" ht="15.75" customHeight="1">
      <c r="D746" s="18"/>
      <c r="H746" s="19"/>
      <c r="I746" s="12"/>
      <c r="J746" s="16"/>
    </row>
    <row r="747" ht="15.75" customHeight="1">
      <c r="A747" s="20"/>
      <c r="D747" s="18"/>
      <c r="I747" s="12"/>
      <c r="J747" s="13"/>
    </row>
    <row r="748" ht="15.75" customHeight="1">
      <c r="D748" s="18"/>
      <c r="H748" s="19"/>
      <c r="I748" s="12"/>
      <c r="J748" s="13"/>
    </row>
    <row r="749" ht="15.75" customHeight="1">
      <c r="D749" s="18"/>
      <c r="I749" s="12"/>
      <c r="J749" s="13"/>
    </row>
    <row r="750" ht="15.75" customHeight="1">
      <c r="D750" s="18"/>
      <c r="J750" s="13"/>
    </row>
    <row r="751" ht="15.75" customHeight="1">
      <c r="D751" s="18"/>
      <c r="H751" s="19"/>
      <c r="J751" s="13"/>
    </row>
    <row r="752" ht="15.75" customHeight="1">
      <c r="A752" s="20"/>
      <c r="D752" s="18"/>
      <c r="J752" s="13"/>
    </row>
    <row r="753" ht="15.75" customHeight="1">
      <c r="D753" s="18"/>
      <c r="I753" s="12"/>
      <c r="J753" s="13"/>
    </row>
    <row r="754" ht="15.75" customHeight="1">
      <c r="D754" s="18"/>
      <c r="I754" s="12"/>
      <c r="J754" s="13"/>
    </row>
    <row r="755" ht="15.75" customHeight="1">
      <c r="D755" s="18"/>
      <c r="H755" s="19"/>
      <c r="J755" s="16"/>
    </row>
    <row r="756" ht="15.75" customHeight="1">
      <c r="D756" s="18"/>
      <c r="H756" s="19"/>
      <c r="I756" s="12"/>
      <c r="J756" s="16"/>
    </row>
    <row r="757" ht="15.75" customHeight="1">
      <c r="D757" s="18"/>
      <c r="I757" s="12"/>
      <c r="J757" s="13"/>
    </row>
    <row r="758" ht="15.75" customHeight="1">
      <c r="D758" s="18"/>
      <c r="H758" s="19"/>
      <c r="I758" s="12"/>
      <c r="J758" s="16"/>
    </row>
    <row r="759" ht="15.75" customHeight="1">
      <c r="D759" s="18"/>
      <c r="I759" s="12"/>
      <c r="J759" s="16"/>
    </row>
    <row r="760" ht="15.75" customHeight="1">
      <c r="D760" s="18"/>
      <c r="H760" s="19"/>
      <c r="I760" s="12"/>
      <c r="J760" s="16"/>
    </row>
    <row r="761" ht="15.75" customHeight="1">
      <c r="A761" s="20"/>
      <c r="D761" s="18"/>
      <c r="H761" s="19"/>
      <c r="J761" s="16"/>
    </row>
    <row r="762" ht="15.75" customHeight="1">
      <c r="D762" s="18"/>
      <c r="H762" s="19"/>
      <c r="I762" s="12"/>
      <c r="J762" s="13"/>
    </row>
    <row r="763" ht="15.75" customHeight="1">
      <c r="D763" s="18"/>
      <c r="H763" s="19"/>
      <c r="I763" s="12"/>
      <c r="J763" s="13"/>
    </row>
    <row r="764" ht="15.75" customHeight="1">
      <c r="D764" s="18"/>
      <c r="H764" s="19"/>
      <c r="I764" s="12"/>
      <c r="J764" s="13"/>
    </row>
    <row r="765" ht="15.75" customHeight="1">
      <c r="D765" s="18"/>
      <c r="H765" s="19"/>
      <c r="I765" s="12"/>
      <c r="J765" s="13"/>
    </row>
    <row r="766" ht="15.75" customHeight="1">
      <c r="A766" s="20"/>
      <c r="D766" s="18"/>
      <c r="H766" s="19"/>
      <c r="I766" s="12"/>
      <c r="J766" s="13"/>
    </row>
    <row r="767" ht="15.75" customHeight="1">
      <c r="D767" s="18"/>
      <c r="H767" s="19"/>
      <c r="I767" s="12"/>
      <c r="J767" s="13"/>
    </row>
    <row r="768" ht="15.75" customHeight="1">
      <c r="D768" s="18"/>
      <c r="H768" s="19"/>
      <c r="I768" s="12"/>
      <c r="J768" s="13"/>
    </row>
    <row r="769" ht="15.75" customHeight="1">
      <c r="D769" s="18"/>
      <c r="H769" s="19"/>
      <c r="I769" s="12"/>
      <c r="J769" s="13"/>
    </row>
    <row r="770" ht="15.75" customHeight="1">
      <c r="D770" s="18"/>
      <c r="H770" s="19"/>
      <c r="J770" s="16"/>
    </row>
    <row r="771" ht="15.75" customHeight="1">
      <c r="D771" s="18"/>
      <c r="H771" s="19"/>
      <c r="J771" s="16"/>
    </row>
    <row r="772" ht="15.75" customHeight="1">
      <c r="A772" s="20"/>
      <c r="D772" s="18"/>
      <c r="H772" s="19"/>
      <c r="J772" s="16"/>
    </row>
    <row r="773" ht="15.75" customHeight="1">
      <c r="D773" s="18"/>
      <c r="H773" s="19"/>
      <c r="J773" s="16"/>
    </row>
    <row r="774" ht="15.75" customHeight="1">
      <c r="A774" s="20"/>
      <c r="D774" s="18"/>
      <c r="H774" s="19"/>
      <c r="J774" s="16"/>
    </row>
    <row r="775" ht="15.75" customHeight="1">
      <c r="D775" s="18"/>
      <c r="I775" s="12"/>
      <c r="J775" s="13"/>
    </row>
    <row r="776" ht="15.75" customHeight="1">
      <c r="D776" s="18"/>
      <c r="H776" s="19"/>
      <c r="J776" s="16"/>
    </row>
    <row r="777" ht="15.75" customHeight="1">
      <c r="D777" s="18"/>
      <c r="I777" s="12"/>
      <c r="J777" s="16"/>
    </row>
    <row r="778" ht="15.75" customHeight="1">
      <c r="D778" s="18"/>
      <c r="H778" s="19"/>
      <c r="I778" s="12"/>
      <c r="J778" s="13"/>
    </row>
    <row r="779" ht="15.75" customHeight="1">
      <c r="D779" s="18"/>
      <c r="I779" s="12"/>
      <c r="J779" s="13"/>
    </row>
    <row r="780" ht="15.75" customHeight="1">
      <c r="D780" s="18"/>
      <c r="J780" s="13"/>
    </row>
    <row r="781" ht="15.75" customHeight="1">
      <c r="D781" s="18"/>
      <c r="H781" s="19"/>
      <c r="J781" s="16"/>
    </row>
    <row r="782" ht="15.75" customHeight="1">
      <c r="D782" s="18"/>
      <c r="H782" s="19"/>
      <c r="J782" s="16"/>
    </row>
    <row r="783" ht="15.75" customHeight="1">
      <c r="D783" s="18"/>
      <c r="H783" s="19"/>
      <c r="I783" s="12"/>
      <c r="J783" s="16"/>
    </row>
    <row r="784" ht="15.75" customHeight="1">
      <c r="D784" s="18"/>
      <c r="I784" s="12"/>
      <c r="J784" s="16"/>
    </row>
    <row r="785" ht="15.75" customHeight="1">
      <c r="D785" s="18"/>
      <c r="I785" s="12"/>
      <c r="J785" s="13"/>
    </row>
    <row r="786" ht="15.75" customHeight="1">
      <c r="D786" s="18"/>
      <c r="H786" s="19"/>
      <c r="J786" s="16"/>
    </row>
    <row r="787" ht="15.75" customHeight="1">
      <c r="D787" s="18"/>
      <c r="J787" s="13"/>
    </row>
    <row r="788" ht="15.75" customHeight="1">
      <c r="A788" s="20"/>
      <c r="D788" s="18"/>
      <c r="H788" s="19"/>
      <c r="I788" s="12"/>
      <c r="J788" s="16"/>
    </row>
    <row r="789" ht="15.75" customHeight="1">
      <c r="D789" s="18"/>
      <c r="H789" s="19"/>
      <c r="J789" s="16"/>
    </row>
    <row r="790" ht="15.75" customHeight="1">
      <c r="A790" s="20"/>
      <c r="D790" s="18"/>
      <c r="H790" s="19"/>
      <c r="I790" s="12"/>
      <c r="J790" s="16"/>
    </row>
    <row r="791" ht="15.75" customHeight="1">
      <c r="D791" s="18"/>
      <c r="H791" s="19"/>
      <c r="I791" s="12"/>
      <c r="J791" s="13"/>
    </row>
    <row r="792" ht="15.75" customHeight="1">
      <c r="D792" s="18"/>
      <c r="H792" s="19"/>
      <c r="J792" s="16"/>
    </row>
    <row r="793" ht="15.75" customHeight="1">
      <c r="D793" s="18"/>
      <c r="H793" s="19"/>
      <c r="J793" s="16"/>
    </row>
    <row r="794" ht="15.75" customHeight="1">
      <c r="D794" s="18"/>
      <c r="H794" s="19"/>
      <c r="I794" s="12"/>
      <c r="J794" s="16"/>
    </row>
    <row r="795" ht="15.75" customHeight="1">
      <c r="D795" s="18"/>
      <c r="H795" s="19"/>
      <c r="I795" s="12"/>
      <c r="J795" s="16"/>
    </row>
    <row r="796" ht="15.75" customHeight="1">
      <c r="D796" s="18"/>
      <c r="H796" s="19"/>
      <c r="I796" s="12"/>
      <c r="J796" s="16"/>
    </row>
    <row r="797" ht="15.75" customHeight="1">
      <c r="D797" s="18"/>
      <c r="H797" s="19"/>
      <c r="I797" s="12"/>
      <c r="J797" s="16"/>
    </row>
    <row r="798" ht="15.75" customHeight="1">
      <c r="D798" s="18"/>
      <c r="J798" s="16"/>
    </row>
    <row r="799" ht="15.75" customHeight="1">
      <c r="A799" s="20"/>
      <c r="D799" s="18"/>
      <c r="H799" s="19"/>
      <c r="J799" s="13"/>
    </row>
    <row r="800" ht="15.75" customHeight="1">
      <c r="D800" s="18"/>
      <c r="H800" s="19"/>
      <c r="I800" s="12"/>
      <c r="J800" s="16"/>
    </row>
    <row r="801" ht="15.75" customHeight="1">
      <c r="D801" s="18"/>
      <c r="J801" s="16"/>
    </row>
    <row r="802" ht="15.75" customHeight="1">
      <c r="D802" s="18"/>
      <c r="H802" s="19"/>
      <c r="I802" s="12"/>
      <c r="J802" s="13"/>
    </row>
    <row r="803" ht="15.75" customHeight="1">
      <c r="D803" s="18"/>
      <c r="H803" s="19"/>
      <c r="I803" s="12"/>
      <c r="J803" s="16"/>
    </row>
    <row r="804" ht="15.75" customHeight="1">
      <c r="D804" s="18"/>
      <c r="J804" s="13"/>
    </row>
    <row r="805" ht="15.75" customHeight="1">
      <c r="D805" s="18"/>
      <c r="I805" s="12"/>
      <c r="J805" s="13"/>
    </row>
    <row r="806" ht="15.75" customHeight="1">
      <c r="D806" s="18"/>
      <c r="H806" s="19"/>
      <c r="I806" s="12"/>
      <c r="J806" s="13"/>
    </row>
    <row r="807" ht="15.75" customHeight="1">
      <c r="D807" s="18"/>
      <c r="H807" s="19"/>
      <c r="I807" s="12"/>
      <c r="J807" s="13"/>
    </row>
    <row r="808" ht="15.75" customHeight="1">
      <c r="D808" s="18"/>
      <c r="J808" s="13"/>
    </row>
    <row r="809" ht="15.75" customHeight="1">
      <c r="D809" s="18"/>
      <c r="H809" s="19"/>
      <c r="J809" s="16"/>
    </row>
    <row r="810" ht="15.75" customHeight="1">
      <c r="D810" s="18"/>
      <c r="H810" s="19"/>
      <c r="J810" s="16"/>
    </row>
    <row r="811" ht="15.75" customHeight="1">
      <c r="D811" s="18"/>
      <c r="H811" s="19"/>
      <c r="J811" s="16"/>
    </row>
    <row r="812" ht="15.75" customHeight="1">
      <c r="A812" s="20"/>
      <c r="D812" s="18"/>
      <c r="I812" s="12"/>
      <c r="J812" s="13"/>
    </row>
    <row r="813" ht="15.75" customHeight="1">
      <c r="A813" s="20"/>
      <c r="D813" s="18"/>
      <c r="I813" s="12"/>
      <c r="J813" s="13"/>
    </row>
    <row r="814" ht="15.75" customHeight="1">
      <c r="D814" s="18"/>
      <c r="H814" s="19"/>
      <c r="J814" s="13"/>
    </row>
    <row r="815" ht="15.75" customHeight="1">
      <c r="D815" s="18"/>
      <c r="H815" s="19"/>
      <c r="J815" s="16"/>
    </row>
    <row r="816" ht="15.75" customHeight="1">
      <c r="D816" s="18"/>
      <c r="H816" s="19"/>
      <c r="I816" s="12"/>
      <c r="J816" s="16"/>
    </row>
    <row r="817" ht="15.75" customHeight="1">
      <c r="D817" s="18"/>
      <c r="H817" s="19"/>
      <c r="J817" s="16"/>
    </row>
    <row r="818" ht="15.75" customHeight="1">
      <c r="A818" s="20"/>
      <c r="D818" s="18"/>
      <c r="H818" s="19"/>
      <c r="I818" s="12"/>
      <c r="J818" s="16"/>
    </row>
    <row r="819" ht="15.75" customHeight="1">
      <c r="A819" s="20"/>
      <c r="D819" s="18"/>
      <c r="I819" s="12"/>
      <c r="J819" s="16"/>
    </row>
    <row r="820" ht="15.75" customHeight="1">
      <c r="D820" s="18"/>
      <c r="H820" s="19"/>
      <c r="J820" s="16"/>
    </row>
    <row r="821" ht="15.75" customHeight="1">
      <c r="D821" s="18"/>
      <c r="H821" s="19"/>
      <c r="I821" s="12"/>
      <c r="J821" s="13"/>
    </row>
    <row r="822" ht="15.75" customHeight="1">
      <c r="D822" s="18"/>
      <c r="H822" s="19"/>
      <c r="I822" s="12"/>
      <c r="J822" s="16"/>
    </row>
    <row r="823" ht="15.75" customHeight="1">
      <c r="D823" s="18"/>
      <c r="I823" s="12"/>
      <c r="J823" s="13"/>
    </row>
    <row r="824" ht="15.75" customHeight="1">
      <c r="A824" s="20"/>
      <c r="D824" s="18"/>
      <c r="H824" s="19"/>
      <c r="I824" s="12"/>
      <c r="J824" s="16"/>
    </row>
    <row r="825" ht="15.75" customHeight="1">
      <c r="D825" s="18"/>
      <c r="H825" s="19"/>
      <c r="I825" s="12"/>
      <c r="J825" s="16"/>
    </row>
    <row r="826" ht="15.75" customHeight="1">
      <c r="D826" s="18"/>
      <c r="I826" s="12"/>
      <c r="J826" s="13"/>
    </row>
    <row r="827" ht="15.75" customHeight="1">
      <c r="D827" s="18"/>
      <c r="I827" s="12"/>
      <c r="J827" s="13"/>
    </row>
    <row r="828" ht="15.75" customHeight="1">
      <c r="D828" s="18"/>
      <c r="J828" s="13"/>
    </row>
    <row r="829" ht="15.75" customHeight="1">
      <c r="D829" s="18"/>
      <c r="H829" s="19"/>
      <c r="J829" s="16"/>
    </row>
    <row r="830" ht="15.75" customHeight="1">
      <c r="D830" s="18"/>
      <c r="J830" s="16"/>
    </row>
    <row r="831" ht="15.75" customHeight="1">
      <c r="D831" s="18"/>
      <c r="J831" s="13"/>
    </row>
    <row r="832" ht="15.75" customHeight="1">
      <c r="D832" s="18"/>
      <c r="H832" s="19"/>
      <c r="I832" s="12"/>
      <c r="J832" s="16"/>
    </row>
    <row r="833" ht="15.75" customHeight="1">
      <c r="D833" s="18"/>
      <c r="H833" s="19"/>
      <c r="I833" s="12"/>
      <c r="J833" s="13"/>
    </row>
    <row r="834" ht="15.75" customHeight="1">
      <c r="A834" s="20"/>
      <c r="D834" s="18"/>
      <c r="I834" s="12"/>
      <c r="J834" s="13"/>
    </row>
    <row r="835" ht="15.75" customHeight="1">
      <c r="D835" s="18"/>
      <c r="I835" s="12"/>
      <c r="J835" s="16"/>
    </row>
    <row r="836" ht="15.75" customHeight="1">
      <c r="D836" s="18"/>
      <c r="I836" s="12"/>
      <c r="J836" s="16"/>
    </row>
    <row r="837" ht="15.75" customHeight="1">
      <c r="D837" s="18"/>
      <c r="H837" s="19"/>
      <c r="I837" s="12"/>
      <c r="J837" s="13"/>
    </row>
    <row r="838" ht="15.75" customHeight="1">
      <c r="D838" s="18"/>
      <c r="H838" s="19"/>
      <c r="I838" s="12"/>
      <c r="J838" s="16"/>
    </row>
    <row r="839" ht="15.75" customHeight="1">
      <c r="D839" s="18"/>
      <c r="H839" s="19"/>
      <c r="J839" s="16"/>
    </row>
    <row r="840" ht="15.75" customHeight="1">
      <c r="D840" s="18"/>
      <c r="H840" s="19"/>
      <c r="J840" s="13"/>
    </row>
    <row r="841" ht="15.75" customHeight="1">
      <c r="D841" s="18"/>
      <c r="H841" s="19"/>
      <c r="J841" s="13"/>
    </row>
    <row r="842" ht="15.75" customHeight="1">
      <c r="D842" s="18"/>
      <c r="H842" s="19"/>
      <c r="J842" s="13"/>
    </row>
    <row r="843" ht="15.75" customHeight="1">
      <c r="A843" s="20"/>
      <c r="D843" s="18"/>
      <c r="H843" s="19"/>
      <c r="J843" s="16"/>
    </row>
    <row r="844" ht="15.75" customHeight="1">
      <c r="D844" s="18"/>
      <c r="J844" s="16"/>
    </row>
    <row r="845" ht="15.75" customHeight="1">
      <c r="D845" s="18"/>
      <c r="I845" s="12"/>
      <c r="J845" s="13"/>
    </row>
    <row r="846" ht="15.75" customHeight="1">
      <c r="A846" s="20"/>
      <c r="D846" s="18"/>
      <c r="H846" s="19"/>
      <c r="I846" s="12"/>
      <c r="J846" s="13"/>
    </row>
    <row r="847" ht="15.75" customHeight="1">
      <c r="D847" s="18"/>
      <c r="I847" s="12"/>
      <c r="J847" s="13"/>
    </row>
    <row r="848" ht="15.75" customHeight="1">
      <c r="D848" s="18"/>
      <c r="H848" s="19"/>
      <c r="I848" s="12"/>
      <c r="J848" s="16"/>
    </row>
    <row r="849" ht="15.75" customHeight="1">
      <c r="A849" s="20"/>
      <c r="D849" s="18"/>
      <c r="J849" s="16"/>
    </row>
    <row r="850" ht="15.75" customHeight="1">
      <c r="D850" s="18"/>
      <c r="H850" s="19"/>
      <c r="J850" s="13"/>
    </row>
    <row r="851" ht="15.75" customHeight="1">
      <c r="D851" s="18"/>
      <c r="H851" s="19"/>
      <c r="I851" s="12"/>
      <c r="J851" s="16"/>
    </row>
    <row r="852" ht="15.75" customHeight="1">
      <c r="D852" s="18"/>
      <c r="H852" s="19"/>
      <c r="I852" s="12"/>
      <c r="J852" s="13"/>
    </row>
    <row r="853" ht="15.75" customHeight="1">
      <c r="D853" s="18"/>
      <c r="I853" s="12"/>
      <c r="J853" s="13"/>
    </row>
    <row r="854" ht="15.75" customHeight="1">
      <c r="D854" s="18"/>
      <c r="I854" s="12"/>
      <c r="J854" s="13"/>
    </row>
    <row r="855" ht="15.75" customHeight="1">
      <c r="D855" s="18"/>
      <c r="H855" s="19"/>
      <c r="I855" s="12"/>
      <c r="J855" s="16"/>
    </row>
    <row r="856" ht="15.75" customHeight="1">
      <c r="A856" s="20"/>
      <c r="D856" s="18"/>
      <c r="H856" s="19"/>
      <c r="J856" s="16"/>
    </row>
    <row r="857" ht="15.75" customHeight="1">
      <c r="D857" s="18"/>
      <c r="J857" s="13"/>
    </row>
    <row r="858" ht="15.75" customHeight="1">
      <c r="D858" s="18"/>
      <c r="H858" s="19"/>
      <c r="I858" s="12"/>
      <c r="J858" s="13"/>
    </row>
    <row r="859" ht="15.75" customHeight="1">
      <c r="A859" s="20"/>
      <c r="D859" s="18"/>
      <c r="J859" s="13"/>
    </row>
    <row r="860" ht="15.75" customHeight="1">
      <c r="D860" s="18"/>
      <c r="H860" s="19"/>
      <c r="J860" s="13"/>
    </row>
    <row r="861" ht="15.75" customHeight="1">
      <c r="D861" s="18"/>
      <c r="I861" s="12"/>
      <c r="J861" s="16"/>
    </row>
    <row r="862" ht="15.75" customHeight="1">
      <c r="D862" s="18"/>
      <c r="H862" s="19"/>
      <c r="J862" s="16"/>
    </row>
    <row r="863" ht="15.75" customHeight="1">
      <c r="D863" s="18"/>
      <c r="H863" s="19"/>
      <c r="J863" s="16"/>
    </row>
    <row r="864" ht="15.75" customHeight="1">
      <c r="D864" s="18"/>
      <c r="H864" s="19"/>
      <c r="J864" s="16"/>
    </row>
    <row r="865" ht="15.75" customHeight="1">
      <c r="D865" s="18"/>
      <c r="I865" s="12"/>
      <c r="J865" s="16"/>
    </row>
    <row r="866" ht="15.75" customHeight="1">
      <c r="D866" s="18"/>
      <c r="H866" s="19"/>
      <c r="I866" s="12"/>
      <c r="J866" s="13"/>
    </row>
    <row r="867" ht="15.75" customHeight="1">
      <c r="D867" s="18"/>
      <c r="I867" s="12"/>
      <c r="J867" s="13"/>
    </row>
    <row r="868" ht="15.75" customHeight="1">
      <c r="D868" s="18"/>
      <c r="I868" s="12"/>
      <c r="J868" s="13"/>
    </row>
    <row r="869" ht="15.75" customHeight="1">
      <c r="D869" s="18"/>
      <c r="H869" s="19"/>
      <c r="J869" s="16"/>
    </row>
    <row r="870" ht="15.75" customHeight="1">
      <c r="D870" s="18"/>
      <c r="H870" s="19"/>
      <c r="J870" s="16"/>
    </row>
    <row r="871" ht="15.75" customHeight="1">
      <c r="D871" s="18"/>
      <c r="H871" s="19"/>
      <c r="I871" s="12"/>
      <c r="J871" s="13"/>
    </row>
    <row r="872" ht="15.75" customHeight="1">
      <c r="A872" s="20"/>
      <c r="D872" s="18"/>
      <c r="I872" s="12"/>
      <c r="J872" s="16"/>
    </row>
    <row r="873" ht="15.75" customHeight="1">
      <c r="A873" s="20"/>
      <c r="D873" s="18"/>
      <c r="J873" s="13"/>
    </row>
    <row r="874" ht="15.75" customHeight="1">
      <c r="D874" s="18"/>
      <c r="I874" s="12"/>
      <c r="J874" s="13"/>
    </row>
    <row r="875" ht="15.75" customHeight="1">
      <c r="D875" s="18"/>
      <c r="I875" s="12"/>
      <c r="J875" s="16"/>
    </row>
    <row r="876" ht="15.75" customHeight="1">
      <c r="A876" s="20"/>
      <c r="D876" s="18"/>
      <c r="H876" s="19"/>
      <c r="I876" s="12"/>
      <c r="J876" s="13"/>
    </row>
    <row r="877" ht="15.75" customHeight="1">
      <c r="D877" s="18"/>
      <c r="I877" s="12"/>
      <c r="J877" s="16"/>
    </row>
    <row r="878" ht="15.75" customHeight="1">
      <c r="D878" s="18"/>
      <c r="H878" s="19"/>
      <c r="J878" s="16"/>
    </row>
    <row r="879" ht="15.75" customHeight="1">
      <c r="D879" s="18"/>
      <c r="H879" s="19"/>
      <c r="I879" s="12"/>
      <c r="J879" s="16"/>
    </row>
    <row r="880" ht="15.75" customHeight="1">
      <c r="D880" s="18"/>
      <c r="I880" s="12"/>
      <c r="J880" s="13"/>
    </row>
    <row r="881" ht="15.75" customHeight="1">
      <c r="D881" s="18"/>
      <c r="J881" s="13"/>
    </row>
    <row r="882" ht="15.75" customHeight="1">
      <c r="D882" s="18"/>
      <c r="H882" s="19"/>
      <c r="I882" s="12"/>
      <c r="J882" s="16"/>
    </row>
    <row r="883" ht="15.75" customHeight="1">
      <c r="A883" s="20"/>
      <c r="D883" s="18"/>
      <c r="J883" s="13"/>
    </row>
    <row r="884" ht="15.75" customHeight="1">
      <c r="D884" s="18"/>
      <c r="H884" s="19"/>
      <c r="J884" s="13"/>
    </row>
    <row r="885" ht="15.75" customHeight="1">
      <c r="D885" s="18"/>
      <c r="H885" s="19"/>
      <c r="I885" s="12"/>
      <c r="J885" s="13"/>
    </row>
    <row r="886" ht="15.75" customHeight="1">
      <c r="A886" s="20"/>
      <c r="D886" s="18"/>
      <c r="H886" s="19"/>
      <c r="I886" s="12"/>
      <c r="J886" s="16"/>
    </row>
    <row r="887" ht="15.75" customHeight="1">
      <c r="D887" s="18"/>
      <c r="H887" s="19"/>
      <c r="J887" s="16"/>
    </row>
    <row r="888" ht="15.75" customHeight="1">
      <c r="D888" s="18"/>
      <c r="I888" s="12"/>
      <c r="J888" s="13"/>
    </row>
    <row r="889" ht="15.75" customHeight="1">
      <c r="D889" s="18"/>
      <c r="I889" s="12"/>
      <c r="J889" s="13"/>
    </row>
    <row r="890" ht="15.75" customHeight="1">
      <c r="D890" s="18"/>
      <c r="I890" s="12"/>
      <c r="J890" s="13"/>
    </row>
    <row r="891" ht="15.75" customHeight="1">
      <c r="D891" s="18"/>
      <c r="H891" s="19"/>
      <c r="I891" s="12"/>
      <c r="J891" s="13"/>
    </row>
    <row r="892" ht="15.75" customHeight="1">
      <c r="D892" s="18"/>
      <c r="H892" s="19"/>
      <c r="J892" s="13"/>
    </row>
    <row r="893" ht="15.75" customHeight="1">
      <c r="A893" s="20"/>
      <c r="D893" s="18"/>
      <c r="H893" s="19"/>
      <c r="J893" s="16"/>
    </row>
    <row r="894" ht="15.75" customHeight="1">
      <c r="D894" s="18"/>
      <c r="H894" s="19"/>
      <c r="J894" s="16"/>
    </row>
    <row r="895" ht="15.75" customHeight="1">
      <c r="D895" s="18"/>
      <c r="I895" s="12"/>
      <c r="J895" s="16"/>
    </row>
    <row r="896" ht="15.75" customHeight="1">
      <c r="D896" s="18"/>
      <c r="J896" s="13"/>
    </row>
    <row r="897" ht="15.75" customHeight="1">
      <c r="D897" s="18"/>
      <c r="H897" s="19"/>
      <c r="I897" s="12"/>
      <c r="J897" s="13"/>
    </row>
    <row r="898" ht="15.75" customHeight="1">
      <c r="D898" s="18"/>
      <c r="H898" s="19"/>
      <c r="I898" s="12"/>
      <c r="J898" s="13"/>
    </row>
    <row r="899" ht="15.75" customHeight="1">
      <c r="D899" s="18"/>
      <c r="H899" s="19"/>
      <c r="I899" s="12"/>
      <c r="J899" s="13"/>
    </row>
    <row r="900" ht="15.75" customHeight="1">
      <c r="D900" s="18"/>
      <c r="H900" s="19"/>
      <c r="J900" s="13"/>
    </row>
    <row r="901" ht="15.75" customHeight="1">
      <c r="D901" s="18"/>
      <c r="H901" s="19"/>
      <c r="J901" s="16"/>
    </row>
    <row r="902" ht="15.75" customHeight="1">
      <c r="D902" s="18"/>
      <c r="H902" s="19"/>
      <c r="J902" s="16"/>
    </row>
    <row r="903" ht="15.75" customHeight="1">
      <c r="D903" s="18"/>
      <c r="H903" s="19"/>
      <c r="I903" s="12"/>
      <c r="J903" s="13"/>
    </row>
    <row r="904" ht="15.75" customHeight="1">
      <c r="A904" s="20"/>
      <c r="D904" s="18"/>
      <c r="H904" s="19"/>
      <c r="I904" s="12"/>
      <c r="J904" s="13"/>
    </row>
    <row r="905" ht="15.75" customHeight="1">
      <c r="D905" s="18"/>
      <c r="H905" s="19"/>
      <c r="J905" s="16"/>
    </row>
    <row r="906" ht="15.75" customHeight="1">
      <c r="D906" s="18"/>
      <c r="H906" s="19"/>
      <c r="J906" s="13"/>
    </row>
    <row r="907" ht="15.75" customHeight="1">
      <c r="D907" s="18"/>
      <c r="H907" s="19"/>
      <c r="J907" s="16"/>
    </row>
    <row r="908" ht="15.75" customHeight="1">
      <c r="D908" s="18"/>
      <c r="H908" s="19"/>
      <c r="I908" s="12"/>
      <c r="J908" s="13"/>
    </row>
    <row r="909" ht="15.75" customHeight="1">
      <c r="A909" s="20"/>
      <c r="D909" s="18"/>
      <c r="I909" s="12"/>
      <c r="J909" s="13"/>
    </row>
    <row r="910" ht="15.75" customHeight="1">
      <c r="D910" s="18"/>
      <c r="I910" s="12"/>
      <c r="J910" s="13"/>
    </row>
    <row r="911" ht="15.75" customHeight="1">
      <c r="D911" s="18"/>
      <c r="I911" s="12"/>
      <c r="J911" s="13"/>
    </row>
    <row r="912" ht="15.75" customHeight="1">
      <c r="D912" s="18"/>
      <c r="I912" s="12"/>
      <c r="J912" s="13"/>
    </row>
    <row r="913" ht="15.75" customHeight="1">
      <c r="D913" s="18"/>
      <c r="H913" s="19"/>
      <c r="J913" s="16"/>
    </row>
    <row r="914" ht="15.75" customHeight="1">
      <c r="D914" s="18"/>
      <c r="H914" s="19"/>
      <c r="J914" s="16"/>
    </row>
    <row r="915" ht="15.75" customHeight="1">
      <c r="A915" s="20"/>
      <c r="D915" s="18"/>
      <c r="I915" s="12"/>
      <c r="J915" s="13"/>
    </row>
    <row r="916" ht="15.75" customHeight="1">
      <c r="D916" s="18"/>
      <c r="I916" s="12"/>
      <c r="J916" s="13"/>
    </row>
    <row r="917" ht="15.75" customHeight="1">
      <c r="D917" s="18"/>
      <c r="H917" s="19"/>
      <c r="I917" s="12"/>
      <c r="J917" s="13"/>
    </row>
    <row r="918" ht="15.75" customHeight="1">
      <c r="D918" s="18"/>
      <c r="H918" s="19"/>
      <c r="I918" s="12"/>
      <c r="J918" s="16"/>
    </row>
    <row r="919" ht="15.75" customHeight="1">
      <c r="A919" s="20"/>
      <c r="D919" s="18"/>
      <c r="H919" s="19"/>
      <c r="J919" s="13"/>
    </row>
    <row r="920" ht="15.75" customHeight="1">
      <c r="D920" s="18"/>
      <c r="H920" s="19"/>
      <c r="I920" s="12"/>
      <c r="J920" s="13"/>
    </row>
    <row r="921" ht="15.75" customHeight="1">
      <c r="D921" s="18"/>
      <c r="H921" s="19"/>
      <c r="J921" s="16"/>
    </row>
    <row r="922" ht="15.75" customHeight="1">
      <c r="D922" s="18"/>
      <c r="H922" s="19"/>
      <c r="J922" s="13"/>
    </row>
    <row r="923" ht="15.75" customHeight="1">
      <c r="A923" s="20"/>
      <c r="D923" s="18"/>
      <c r="H923" s="19"/>
      <c r="J923" s="16"/>
    </row>
    <row r="924" ht="15.75" customHeight="1">
      <c r="D924" s="18"/>
      <c r="I924" s="12"/>
      <c r="J924" s="13"/>
    </row>
    <row r="925" ht="15.75" customHeight="1">
      <c r="D925" s="18"/>
      <c r="H925" s="19"/>
      <c r="J925" s="13"/>
    </row>
    <row r="926" ht="15.75" customHeight="1">
      <c r="D926" s="18"/>
      <c r="J926" s="13"/>
    </row>
    <row r="927" ht="15.75" customHeight="1">
      <c r="D927" s="18"/>
      <c r="H927" s="19"/>
      <c r="J927" s="16"/>
    </row>
    <row r="928" ht="15.75" customHeight="1">
      <c r="D928" s="18"/>
      <c r="I928" s="12"/>
      <c r="J928" s="16"/>
    </row>
    <row r="929" ht="15.75" customHeight="1">
      <c r="D929" s="18"/>
      <c r="H929" s="19"/>
      <c r="I929" s="12"/>
      <c r="J929" s="13"/>
    </row>
    <row r="930" ht="15.75" customHeight="1">
      <c r="D930" s="18"/>
      <c r="H930" s="19"/>
      <c r="J930" s="16"/>
    </row>
    <row r="931" ht="15.75" customHeight="1">
      <c r="D931" s="18"/>
      <c r="H931" s="19"/>
      <c r="J931" s="16"/>
    </row>
    <row r="932" ht="15.75" customHeight="1">
      <c r="D932" s="18"/>
      <c r="H932" s="19"/>
      <c r="I932" s="12"/>
      <c r="J932" s="16"/>
    </row>
    <row r="933" ht="15.75" customHeight="1">
      <c r="D933" s="18"/>
      <c r="H933" s="19"/>
      <c r="J933" s="16"/>
    </row>
    <row r="934" ht="15.75" customHeight="1">
      <c r="A934" s="20"/>
      <c r="D934" s="18"/>
      <c r="H934" s="19"/>
      <c r="I934" s="12"/>
      <c r="J934" s="16"/>
    </row>
    <row r="935" ht="15.75" customHeight="1">
      <c r="D935" s="18"/>
      <c r="H935" s="19"/>
      <c r="I935" s="12"/>
      <c r="J935" s="13"/>
    </row>
    <row r="936" ht="15.75" customHeight="1">
      <c r="D936" s="18"/>
      <c r="I936" s="12"/>
      <c r="J936" s="13"/>
    </row>
    <row r="937" ht="15.75" customHeight="1">
      <c r="D937" s="18"/>
      <c r="I937" s="12"/>
      <c r="J937" s="13"/>
    </row>
    <row r="938" ht="15.75" customHeight="1">
      <c r="D938" s="18"/>
      <c r="I938" s="12"/>
      <c r="J938" s="16"/>
    </row>
    <row r="939" ht="15.75" customHeight="1">
      <c r="D939" s="18"/>
      <c r="H939" s="19"/>
      <c r="I939" s="12"/>
      <c r="J939" s="16"/>
    </row>
    <row r="940" ht="15.75" customHeight="1">
      <c r="D940" s="18"/>
      <c r="H940" s="19"/>
      <c r="J940" s="16"/>
    </row>
    <row r="941" ht="15.75" customHeight="1">
      <c r="D941" s="18"/>
      <c r="H941" s="19"/>
      <c r="J941" s="13"/>
    </row>
    <row r="942" ht="15.75" customHeight="1">
      <c r="D942" s="18"/>
      <c r="J942" s="13"/>
    </row>
    <row r="943" ht="15.75" customHeight="1">
      <c r="D943" s="18"/>
      <c r="H943" s="19"/>
      <c r="I943" s="12"/>
      <c r="J943" s="16"/>
    </row>
    <row r="944" ht="15.75" customHeight="1">
      <c r="D944" s="18"/>
      <c r="J944" s="13"/>
    </row>
    <row r="945" ht="15.75" customHeight="1">
      <c r="D945" s="18"/>
      <c r="H945" s="19"/>
      <c r="J945" s="16"/>
    </row>
    <row r="946" ht="15.75" customHeight="1">
      <c r="D946" s="18"/>
      <c r="H946" s="19"/>
      <c r="J946" s="13"/>
    </row>
    <row r="947" ht="15.75" customHeight="1">
      <c r="D947" s="18"/>
      <c r="I947" s="12"/>
      <c r="J947" s="13"/>
    </row>
    <row r="948" ht="15.75" customHeight="1">
      <c r="D948" s="18"/>
      <c r="H948" s="19"/>
      <c r="J948" s="16"/>
    </row>
    <row r="949" ht="15.75" customHeight="1">
      <c r="D949" s="18"/>
      <c r="H949" s="19"/>
      <c r="I949" s="12"/>
      <c r="J949" s="16"/>
    </row>
    <row r="950" ht="15.75" customHeight="1">
      <c r="D950" s="18"/>
      <c r="H950" s="19"/>
      <c r="I950" s="12"/>
      <c r="J950" s="13"/>
    </row>
    <row r="951" ht="15.75" customHeight="1">
      <c r="D951" s="18"/>
      <c r="I951" s="12"/>
      <c r="J951" s="13"/>
    </row>
    <row r="952" ht="15.75" customHeight="1">
      <c r="D952" s="18"/>
      <c r="H952" s="19"/>
      <c r="J952" s="16"/>
    </row>
    <row r="953" ht="15.75" customHeight="1">
      <c r="D953" s="18"/>
      <c r="I953" s="12"/>
      <c r="J953" s="13"/>
    </row>
    <row r="954" ht="15.75" customHeight="1">
      <c r="D954" s="18"/>
      <c r="I954" s="12"/>
      <c r="J954" s="13"/>
    </row>
    <row r="955" ht="15.75" customHeight="1">
      <c r="D955" s="18"/>
      <c r="H955" s="19"/>
      <c r="I955" s="12"/>
      <c r="J955" s="13"/>
    </row>
    <row r="956" ht="15.75" customHeight="1">
      <c r="D956" s="18"/>
      <c r="H956" s="19"/>
      <c r="J956" s="13"/>
    </row>
    <row r="957" ht="15.75" customHeight="1">
      <c r="D957" s="18"/>
      <c r="H957" s="19"/>
      <c r="I957" s="12"/>
      <c r="J957" s="16"/>
    </row>
    <row r="958" ht="15.75" customHeight="1">
      <c r="D958" s="18"/>
      <c r="H958" s="19"/>
      <c r="J958" s="13"/>
    </row>
    <row r="959" ht="15.75" customHeight="1">
      <c r="A959" s="20"/>
      <c r="D959" s="18"/>
      <c r="H959" s="19"/>
      <c r="I959" s="12"/>
      <c r="J959" s="13"/>
    </row>
    <row r="960" ht="15.75" customHeight="1">
      <c r="D960" s="18"/>
      <c r="H960" s="19"/>
      <c r="J960" s="16"/>
    </row>
    <row r="961" ht="15.75" customHeight="1">
      <c r="D961" s="18"/>
      <c r="J961" s="13"/>
    </row>
    <row r="962" ht="15.75" customHeight="1">
      <c r="D962" s="18"/>
      <c r="J962" s="16"/>
    </row>
    <row r="963" ht="15.75" customHeight="1">
      <c r="D963" s="18"/>
      <c r="H963" s="19"/>
      <c r="I963" s="12"/>
      <c r="J963" s="13"/>
    </row>
    <row r="964" ht="15.75" customHeight="1">
      <c r="D964" s="18"/>
      <c r="H964" s="19"/>
      <c r="J964" s="16"/>
    </row>
    <row r="965" ht="15.75" customHeight="1">
      <c r="D965" s="18"/>
      <c r="H965" s="19"/>
      <c r="J965" s="13"/>
    </row>
    <row r="966" ht="15.75" customHeight="1">
      <c r="D966" s="18"/>
      <c r="J966" s="13"/>
    </row>
    <row r="967" ht="15.75" customHeight="1">
      <c r="D967" s="18"/>
      <c r="H967" s="19"/>
      <c r="J967" s="16"/>
    </row>
    <row r="968" ht="15.75" customHeight="1">
      <c r="A968" s="20"/>
      <c r="D968" s="18"/>
      <c r="H968" s="19"/>
      <c r="J968" s="13"/>
    </row>
    <row r="969" ht="15.75" customHeight="1">
      <c r="D969" s="18"/>
      <c r="J969" s="13"/>
    </row>
    <row r="970" ht="15.75" customHeight="1">
      <c r="D970" s="18"/>
      <c r="I970" s="12"/>
      <c r="J970" s="13"/>
    </row>
    <row r="971" ht="15.75" customHeight="1">
      <c r="A971" s="20"/>
      <c r="D971" s="18"/>
      <c r="H971" s="19"/>
      <c r="I971" s="12"/>
      <c r="J971" s="16"/>
    </row>
    <row r="972" ht="15.75" customHeight="1">
      <c r="A972" s="20"/>
      <c r="D972" s="18"/>
      <c r="H972" s="19"/>
      <c r="I972" s="12"/>
      <c r="J972" s="16"/>
    </row>
    <row r="973" ht="15.75" customHeight="1">
      <c r="A973" s="20"/>
      <c r="D973" s="18"/>
      <c r="I973" s="12"/>
      <c r="J973" s="16"/>
    </row>
    <row r="974" ht="15.75" customHeight="1">
      <c r="A974" s="20"/>
      <c r="D974" s="18"/>
      <c r="I974" s="12"/>
      <c r="J974" s="16"/>
    </row>
    <row r="975" ht="15.75" customHeight="1">
      <c r="D975" s="18"/>
      <c r="H975" s="19"/>
      <c r="J975" s="16"/>
    </row>
    <row r="976" ht="15.75" customHeight="1">
      <c r="D976" s="18"/>
      <c r="I976" s="12"/>
      <c r="J976" s="13"/>
    </row>
    <row r="977" ht="15.75" customHeight="1">
      <c r="D977" s="18"/>
      <c r="H977" s="19"/>
      <c r="I977" s="12"/>
      <c r="J977" s="16"/>
    </row>
    <row r="978" ht="15.75" customHeight="1">
      <c r="D978" s="18"/>
      <c r="H978" s="19"/>
      <c r="I978" s="12"/>
      <c r="J978" s="16"/>
    </row>
    <row r="979" ht="15.75" customHeight="1">
      <c r="D979" s="18"/>
      <c r="H979" s="19"/>
      <c r="I979" s="12"/>
      <c r="J979" s="16"/>
    </row>
    <row r="980" ht="15.75" customHeight="1">
      <c r="A980" s="20"/>
      <c r="D980" s="18"/>
      <c r="H980" s="19"/>
      <c r="J980" s="16"/>
    </row>
    <row r="981" ht="15.75" customHeight="1">
      <c r="D981" s="18"/>
      <c r="H981" s="19"/>
      <c r="J981" s="16"/>
    </row>
    <row r="982" ht="15.75" customHeight="1">
      <c r="D982" s="18"/>
      <c r="H982" s="19"/>
      <c r="J982" s="16"/>
    </row>
    <row r="983" ht="15.75" customHeight="1">
      <c r="D983" s="18"/>
      <c r="H983" s="19"/>
      <c r="J983" s="16"/>
    </row>
    <row r="984" ht="15.75" customHeight="1">
      <c r="A984" s="20"/>
      <c r="D984" s="18"/>
      <c r="H984" s="19"/>
      <c r="I984" s="12"/>
      <c r="J984" s="13"/>
    </row>
    <row r="985" ht="15.75" customHeight="1">
      <c r="A985" s="20"/>
      <c r="D985" s="18"/>
      <c r="I985" s="12"/>
      <c r="J985" s="13"/>
    </row>
    <row r="986" ht="15.75" customHeight="1">
      <c r="D986" s="18"/>
      <c r="H986" s="19"/>
      <c r="I986" s="12"/>
      <c r="J986" s="16"/>
    </row>
    <row r="987" ht="15.75" customHeight="1">
      <c r="D987" s="18"/>
      <c r="H987" s="19"/>
      <c r="I987" s="12"/>
      <c r="J987" s="16"/>
    </row>
    <row r="988" ht="15.75" customHeight="1">
      <c r="D988" s="18"/>
      <c r="H988" s="19"/>
      <c r="I988" s="12"/>
      <c r="J988" s="16"/>
    </row>
    <row r="989" ht="15.75" customHeight="1">
      <c r="A989" s="20"/>
      <c r="D989" s="18"/>
      <c r="H989" s="19"/>
      <c r="J989" s="16"/>
    </row>
    <row r="990" ht="15.75" customHeight="1">
      <c r="D990" s="18"/>
      <c r="H990" s="19"/>
      <c r="J990" s="13"/>
    </row>
    <row r="991" ht="15.75" customHeight="1">
      <c r="A991" s="20"/>
      <c r="D991" s="18"/>
      <c r="H991" s="19"/>
      <c r="I991" s="12"/>
      <c r="J991" s="13"/>
    </row>
    <row r="992" ht="15.75" customHeight="1">
      <c r="D992" s="18"/>
      <c r="I992" s="12"/>
      <c r="J992" s="16"/>
    </row>
    <row r="993" ht="15.75" customHeight="1">
      <c r="D993" s="18"/>
      <c r="H993" s="19"/>
      <c r="I993" s="12"/>
      <c r="J993" s="16"/>
    </row>
    <row r="994" ht="15.75" customHeight="1">
      <c r="D994" s="18"/>
      <c r="H994" s="19"/>
      <c r="J994" s="16"/>
    </row>
    <row r="995" ht="15.75" customHeight="1">
      <c r="D995" s="18"/>
      <c r="H995" s="19"/>
      <c r="J995" s="13"/>
    </row>
    <row r="996" ht="15.75" customHeight="1">
      <c r="D996" s="18"/>
      <c r="I996" s="12"/>
      <c r="J996" s="16"/>
    </row>
    <row r="997" ht="15.75" customHeight="1">
      <c r="D997" s="18"/>
      <c r="H997" s="19"/>
      <c r="J997" s="16"/>
    </row>
    <row r="998" ht="15.75" customHeight="1">
      <c r="D998" s="18"/>
      <c r="H998" s="19"/>
      <c r="J998" s="13"/>
    </row>
    <row r="999" ht="15.75" customHeight="1">
      <c r="D999" s="18"/>
      <c r="H999" s="19"/>
      <c r="J999" s="16"/>
    </row>
    <row r="1000" ht="15.75" customHeight="1">
      <c r="D1000" s="18"/>
      <c r="I1000" s="12"/>
      <c r="J1000" s="13"/>
    </row>
    <row r="1001" ht="15.75" customHeight="1">
      <c r="D1001" s="18"/>
      <c r="H1001" s="19"/>
      <c r="I1001" s="12"/>
      <c r="J1001" s="16"/>
    </row>
    <row r="1002" ht="15.75" customHeight="1">
      <c r="D1002" s="18"/>
      <c r="H1002" s="19"/>
      <c r="I1002" s="12"/>
      <c r="J1002" s="13"/>
    </row>
    <row r="1003" ht="15.75" customHeight="1">
      <c r="D1003" s="18"/>
      <c r="H1003" s="19"/>
      <c r="J1003" s="16"/>
    </row>
    <row r="1004" ht="15.75" customHeight="1">
      <c r="D1004" s="18"/>
      <c r="H1004" s="19"/>
      <c r="I1004" s="12"/>
      <c r="J1004" s="16"/>
    </row>
    <row r="1005" ht="15.75" customHeight="1">
      <c r="D1005" s="18"/>
      <c r="H1005" s="19"/>
      <c r="I1005" s="12"/>
      <c r="J1005" s="16"/>
    </row>
    <row r="1006" ht="15.75" customHeight="1">
      <c r="D1006" s="18"/>
      <c r="H1006" s="19"/>
      <c r="I1006" s="12"/>
      <c r="J1006" s="13"/>
    </row>
    <row r="1007" ht="15.75" customHeight="1">
      <c r="D1007" s="18"/>
      <c r="H1007" s="19"/>
      <c r="J1007" s="16"/>
    </row>
    <row r="1008" ht="15.75" customHeight="1">
      <c r="D1008" s="18"/>
      <c r="H1008" s="19"/>
      <c r="J1008" s="16"/>
    </row>
    <row r="1009" ht="15.75" customHeight="1">
      <c r="D1009" s="18"/>
      <c r="H1009" s="19"/>
      <c r="I1009" s="12"/>
      <c r="J1009" s="16"/>
    </row>
    <row r="1010" ht="15.75" customHeight="1">
      <c r="A1010" s="20"/>
      <c r="D1010" s="18"/>
      <c r="H1010" s="19"/>
      <c r="I1010" s="12"/>
      <c r="J1010" s="13"/>
    </row>
    <row r="1011" ht="15.75" customHeight="1">
      <c r="D1011" s="18"/>
      <c r="H1011" s="19"/>
      <c r="I1011" s="12"/>
      <c r="J1011" s="13"/>
    </row>
    <row r="1012" ht="15.75" customHeight="1">
      <c r="D1012" s="18"/>
      <c r="I1012" s="12"/>
      <c r="J1012" s="13"/>
    </row>
    <row r="1013" ht="15.75" customHeight="1">
      <c r="D1013" s="18"/>
      <c r="I1013" s="12"/>
      <c r="J1013" s="13"/>
    </row>
    <row r="1014" ht="15.75" customHeight="1">
      <c r="D1014" s="18"/>
      <c r="J1014" s="13"/>
    </row>
    <row r="1015" ht="15.75" customHeight="1">
      <c r="D1015" s="18"/>
      <c r="J1015" s="13"/>
    </row>
    <row r="1016" ht="15.75" customHeight="1">
      <c r="D1016" s="18"/>
      <c r="H1016" s="19"/>
      <c r="J1016" s="16"/>
    </row>
    <row r="1017" ht="15.75" customHeight="1">
      <c r="D1017" s="18"/>
      <c r="I1017" s="12"/>
      <c r="J1017" s="13"/>
    </row>
    <row r="1018" ht="15.75" customHeight="1">
      <c r="D1018" s="18"/>
      <c r="H1018" s="19"/>
      <c r="I1018" s="12"/>
      <c r="J1018" s="16"/>
    </row>
    <row r="1019" ht="15.75" customHeight="1">
      <c r="D1019" s="18"/>
      <c r="H1019" s="19"/>
      <c r="I1019" s="12"/>
      <c r="J1019" s="16"/>
    </row>
    <row r="1020" ht="15.75" customHeight="1">
      <c r="D1020" s="18"/>
      <c r="H1020" s="19"/>
      <c r="I1020" s="12"/>
      <c r="J1020" s="13"/>
    </row>
    <row r="1021" ht="15.75" customHeight="1">
      <c r="D1021" s="18"/>
      <c r="H1021" s="19"/>
      <c r="I1021" s="12"/>
      <c r="J1021" s="16"/>
    </row>
    <row r="1022" ht="15.75" customHeight="1">
      <c r="D1022" s="18"/>
      <c r="H1022" s="19"/>
      <c r="I1022" s="12"/>
      <c r="J1022" s="13"/>
    </row>
    <row r="1023" ht="15.75" customHeight="1">
      <c r="D1023" s="18"/>
      <c r="I1023" s="12"/>
      <c r="J1023" s="13"/>
    </row>
    <row r="1024" ht="15.75" customHeight="1">
      <c r="D1024" s="18"/>
      <c r="I1024" s="12"/>
      <c r="J1024" s="13"/>
    </row>
    <row r="1025" ht="15.75" customHeight="1">
      <c r="A1025" s="20"/>
      <c r="D1025" s="18"/>
      <c r="H1025" s="19"/>
      <c r="I1025" s="12"/>
      <c r="J1025" s="16"/>
    </row>
    <row r="1026" ht="15.75" customHeight="1">
      <c r="D1026" s="18"/>
      <c r="I1026" s="12"/>
      <c r="J1026" s="13"/>
    </row>
    <row r="1027" ht="15.75" customHeight="1">
      <c r="D1027" s="18"/>
      <c r="H1027" s="19"/>
      <c r="I1027" s="12"/>
      <c r="J1027" s="13"/>
    </row>
    <row r="1028" ht="15.75" customHeight="1">
      <c r="D1028" s="18"/>
      <c r="I1028" s="12"/>
      <c r="J1028" s="13"/>
    </row>
    <row r="1029" ht="15.75" customHeight="1">
      <c r="D1029" s="18"/>
      <c r="H1029" s="19"/>
      <c r="I1029" s="12"/>
      <c r="J1029" s="13"/>
    </row>
    <row r="1030" ht="15.75" customHeight="1">
      <c r="D1030" s="18"/>
      <c r="H1030" s="19"/>
      <c r="I1030" s="12"/>
      <c r="J1030" s="16"/>
    </row>
    <row r="1031" ht="15.75" customHeight="1">
      <c r="D1031" s="18"/>
      <c r="H1031" s="19"/>
      <c r="I1031" s="12"/>
      <c r="J1031" s="16"/>
    </row>
    <row r="1032" ht="15.75" customHeight="1">
      <c r="D1032" s="18"/>
      <c r="H1032" s="19"/>
      <c r="I1032" s="12"/>
      <c r="J1032" s="16"/>
    </row>
    <row r="1033" ht="15.75" customHeight="1">
      <c r="D1033" s="18"/>
      <c r="H1033" s="19"/>
      <c r="I1033" s="12"/>
      <c r="J1033" s="16"/>
    </row>
    <row r="1034" ht="15.75" customHeight="1">
      <c r="A1034" s="20"/>
      <c r="D1034" s="18"/>
      <c r="J1034" s="13"/>
    </row>
    <row r="1035" ht="15.75" customHeight="1">
      <c r="D1035" s="18"/>
      <c r="H1035" s="19"/>
      <c r="J1035" s="16"/>
    </row>
    <row r="1036" ht="15.75" customHeight="1">
      <c r="D1036" s="18"/>
      <c r="H1036" s="19"/>
      <c r="J1036" s="16"/>
    </row>
    <row r="1037" ht="15.75" customHeight="1">
      <c r="D1037" s="18"/>
      <c r="H1037" s="19"/>
      <c r="I1037" s="12"/>
      <c r="J1037" s="13"/>
    </row>
    <row r="1038" ht="15.75" customHeight="1">
      <c r="D1038" s="18"/>
      <c r="H1038" s="19"/>
      <c r="J1038" s="16"/>
    </row>
    <row r="1039" ht="15.75" customHeight="1">
      <c r="D1039" s="18"/>
      <c r="J1039" s="13"/>
    </row>
    <row r="1040" ht="15.75" customHeight="1">
      <c r="D1040" s="18"/>
      <c r="H1040" s="19"/>
      <c r="J1040" s="13"/>
    </row>
    <row r="1041" ht="15.75" customHeight="1">
      <c r="A1041" s="20"/>
      <c r="D1041" s="18"/>
      <c r="I1041" s="12"/>
      <c r="J1041" s="13"/>
    </row>
    <row r="1042" ht="15.75" customHeight="1">
      <c r="D1042" s="18"/>
      <c r="H1042" s="19"/>
      <c r="I1042" s="12"/>
      <c r="J1042" s="16"/>
    </row>
    <row r="1043" ht="15.75" customHeight="1">
      <c r="D1043" s="18"/>
      <c r="H1043" s="19"/>
      <c r="J1043" s="16"/>
    </row>
    <row r="1044" ht="15.75" customHeight="1">
      <c r="D1044" s="18"/>
      <c r="J1044" s="13"/>
    </row>
    <row r="1045" ht="15.75" customHeight="1">
      <c r="D1045" s="18"/>
      <c r="J1045" s="13"/>
    </row>
    <row r="1046" ht="15.75" customHeight="1">
      <c r="D1046" s="18"/>
      <c r="H1046" s="19"/>
      <c r="J1046" s="13"/>
    </row>
    <row r="1047" ht="15.75" customHeight="1">
      <c r="D1047" s="18"/>
      <c r="H1047" s="19"/>
      <c r="I1047" s="12"/>
      <c r="J1047" s="13"/>
    </row>
    <row r="1048" ht="15.75" customHeight="1">
      <c r="D1048" s="18"/>
      <c r="H1048" s="19"/>
      <c r="J1048" s="13"/>
    </row>
    <row r="1049" ht="15.75" customHeight="1">
      <c r="D1049" s="18"/>
      <c r="I1049" s="12"/>
      <c r="J1049" s="16"/>
    </row>
    <row r="1050" ht="15.75" customHeight="1">
      <c r="D1050" s="18"/>
      <c r="H1050" s="19"/>
      <c r="I1050" s="12"/>
      <c r="J1050" s="16"/>
    </row>
    <row r="1051" ht="15.75" customHeight="1">
      <c r="D1051" s="18"/>
      <c r="H1051" s="19"/>
      <c r="I1051" s="12"/>
      <c r="J1051" s="16"/>
    </row>
    <row r="1052" ht="15.75" customHeight="1">
      <c r="D1052" s="18"/>
      <c r="H1052" s="19"/>
      <c r="I1052" s="12"/>
      <c r="J1052" s="16"/>
    </row>
    <row r="1053" ht="15.75" customHeight="1">
      <c r="D1053" s="18"/>
      <c r="H1053" s="19"/>
      <c r="I1053" s="12"/>
      <c r="J1053" s="13"/>
    </row>
    <row r="1054" ht="15.75" customHeight="1">
      <c r="D1054" s="18"/>
      <c r="I1054" s="12"/>
      <c r="J1054" s="16"/>
    </row>
    <row r="1055" ht="15.75" customHeight="1">
      <c r="D1055" s="18"/>
      <c r="H1055" s="19"/>
      <c r="I1055" s="12"/>
      <c r="J1055" s="16"/>
    </row>
    <row r="1056" ht="15.75" customHeight="1">
      <c r="D1056" s="18"/>
      <c r="H1056" s="19"/>
      <c r="I1056" s="12"/>
      <c r="J1056" s="16"/>
    </row>
    <row r="1057" ht="15.75" customHeight="1">
      <c r="D1057" s="18"/>
      <c r="I1057" s="12"/>
      <c r="J1057" s="13"/>
    </row>
    <row r="1058" ht="15.75" customHeight="1">
      <c r="D1058" s="18"/>
      <c r="H1058" s="19"/>
      <c r="I1058" s="12"/>
      <c r="J1058" s="16"/>
    </row>
    <row r="1059" ht="15.75" customHeight="1">
      <c r="D1059" s="18"/>
      <c r="H1059" s="19"/>
      <c r="I1059" s="12"/>
      <c r="J1059" s="13"/>
    </row>
    <row r="1060" ht="15.75" customHeight="1">
      <c r="D1060" s="18"/>
      <c r="H1060" s="19"/>
      <c r="I1060" s="12"/>
      <c r="J1060" s="16"/>
    </row>
    <row r="1061" ht="15.75" customHeight="1">
      <c r="D1061" s="18"/>
      <c r="I1061" s="12"/>
      <c r="J1061" s="13"/>
    </row>
    <row r="1062" ht="15.75" customHeight="1">
      <c r="D1062" s="18"/>
      <c r="I1062" s="12"/>
      <c r="J1062" s="13"/>
    </row>
    <row r="1063" ht="15.75" customHeight="1">
      <c r="D1063" s="18"/>
      <c r="J1063" s="16"/>
    </row>
    <row r="1064" ht="15.75" customHeight="1">
      <c r="D1064" s="18"/>
      <c r="H1064" s="19"/>
      <c r="I1064" s="12"/>
      <c r="J1064" s="16"/>
    </row>
    <row r="1065" ht="15.75" customHeight="1">
      <c r="A1065" s="20"/>
      <c r="D1065" s="18"/>
      <c r="H1065" s="19"/>
      <c r="I1065" s="12"/>
      <c r="J1065" s="13"/>
    </row>
    <row r="1066" ht="15.75" customHeight="1">
      <c r="D1066" s="18"/>
      <c r="H1066" s="19"/>
      <c r="I1066" s="12"/>
      <c r="J1066" s="16"/>
    </row>
    <row r="1067" ht="15.75" customHeight="1">
      <c r="D1067" s="18"/>
      <c r="I1067" s="12"/>
      <c r="J1067" s="13"/>
    </row>
    <row r="1068" ht="15.75" customHeight="1">
      <c r="D1068" s="18"/>
      <c r="H1068" s="19"/>
      <c r="J1068" s="16"/>
    </row>
    <row r="1069" ht="15.75" customHeight="1">
      <c r="D1069" s="18"/>
      <c r="H1069" s="19"/>
      <c r="J1069" s="13"/>
    </row>
    <row r="1070" ht="15.75" customHeight="1">
      <c r="D1070" s="18"/>
      <c r="H1070" s="19"/>
      <c r="J1070" s="16"/>
    </row>
    <row r="1071" ht="15.75" customHeight="1">
      <c r="D1071" s="18"/>
      <c r="J1071" s="16"/>
    </row>
    <row r="1072" ht="15.75" customHeight="1">
      <c r="D1072" s="18"/>
      <c r="H1072" s="19"/>
      <c r="I1072" s="12"/>
      <c r="J1072" s="13"/>
    </row>
    <row r="1073" ht="15.75" customHeight="1">
      <c r="D1073" s="18"/>
      <c r="H1073" s="19"/>
      <c r="J1073" s="13"/>
    </row>
    <row r="1074" ht="15.75" customHeight="1">
      <c r="D1074" s="18"/>
      <c r="I1074" s="12"/>
      <c r="J1074" s="16"/>
    </row>
    <row r="1075" ht="15.75" customHeight="1">
      <c r="D1075" s="18"/>
      <c r="I1075" s="12"/>
      <c r="J1075" s="16"/>
    </row>
    <row r="1076" ht="15.75" customHeight="1">
      <c r="D1076" s="18"/>
      <c r="H1076" s="19"/>
      <c r="J1076" s="13"/>
    </row>
    <row r="1077" ht="15.75" customHeight="1">
      <c r="A1077" s="20"/>
      <c r="D1077" s="18"/>
      <c r="H1077" s="19"/>
      <c r="I1077" s="12"/>
      <c r="J1077" s="16"/>
    </row>
    <row r="1078" ht="15.75" customHeight="1">
      <c r="A1078" s="20"/>
      <c r="D1078" s="18"/>
      <c r="H1078" s="19"/>
      <c r="J1078" s="16"/>
    </row>
    <row r="1079" ht="15.75" customHeight="1">
      <c r="D1079" s="18"/>
      <c r="I1079" s="12"/>
      <c r="J1079" s="16"/>
    </row>
    <row r="1080" ht="15.75" customHeight="1">
      <c r="D1080" s="18"/>
      <c r="H1080" s="19"/>
      <c r="J1080" s="13"/>
    </row>
    <row r="1081" ht="15.75" customHeight="1">
      <c r="D1081" s="18"/>
      <c r="J1081" s="16"/>
    </row>
    <row r="1082" ht="15.75" customHeight="1">
      <c r="D1082" s="18"/>
      <c r="H1082" s="19"/>
      <c r="J1082" s="13"/>
    </row>
    <row r="1083" ht="15.75" customHeight="1">
      <c r="D1083" s="18"/>
      <c r="I1083" s="12"/>
      <c r="J1083" s="13"/>
    </row>
    <row r="1084" ht="15.75" customHeight="1">
      <c r="D1084" s="18"/>
      <c r="H1084" s="19"/>
      <c r="J1084" s="16"/>
    </row>
    <row r="1085" ht="15.75" customHeight="1">
      <c r="D1085" s="18"/>
      <c r="H1085" s="19"/>
      <c r="I1085" s="12"/>
      <c r="J1085" s="13"/>
    </row>
    <row r="1086" ht="15.75" customHeight="1">
      <c r="D1086" s="18"/>
      <c r="H1086" s="19"/>
      <c r="I1086" s="12"/>
      <c r="J1086" s="13"/>
    </row>
    <row r="1087" ht="15.75" customHeight="1">
      <c r="D1087" s="18"/>
      <c r="I1087" s="12"/>
      <c r="J1087" s="13"/>
    </row>
    <row r="1088" ht="15.75" customHeight="1">
      <c r="A1088" s="20"/>
      <c r="D1088" s="18"/>
      <c r="H1088" s="19"/>
      <c r="J1088" s="16"/>
    </row>
    <row r="1089" ht="15.75" customHeight="1">
      <c r="D1089" s="18"/>
      <c r="H1089" s="19"/>
      <c r="J1089" s="13"/>
    </row>
    <row r="1090" ht="15.75" customHeight="1">
      <c r="D1090" s="18"/>
      <c r="H1090" s="19"/>
      <c r="J1090" s="16"/>
    </row>
    <row r="1091" ht="15.75" customHeight="1">
      <c r="D1091" s="18"/>
      <c r="H1091" s="19"/>
      <c r="J1091" s="16"/>
    </row>
    <row r="1092" ht="15.75" customHeight="1">
      <c r="A1092" s="20"/>
      <c r="D1092" s="18"/>
      <c r="H1092" s="19"/>
      <c r="I1092" s="12"/>
      <c r="J1092" s="16"/>
    </row>
    <row r="1093" ht="15.75" customHeight="1">
      <c r="D1093" s="18"/>
      <c r="H1093" s="19"/>
      <c r="I1093" s="12"/>
      <c r="J1093" s="16"/>
    </row>
    <row r="1094" ht="15.75" customHeight="1">
      <c r="A1094" s="20"/>
      <c r="D1094" s="18"/>
      <c r="H1094" s="19"/>
      <c r="I1094" s="12"/>
      <c r="J1094" s="16"/>
    </row>
    <row r="1095" ht="15.75" customHeight="1">
      <c r="D1095" s="18"/>
      <c r="H1095" s="19"/>
      <c r="J1095" s="16"/>
    </row>
    <row r="1096" ht="15.75" customHeight="1">
      <c r="D1096" s="18"/>
      <c r="H1096" s="19"/>
      <c r="J1096" s="16"/>
    </row>
    <row r="1097" ht="15.75" customHeight="1">
      <c r="D1097" s="18"/>
      <c r="H1097" s="19"/>
      <c r="I1097" s="12"/>
      <c r="J1097" s="16"/>
    </row>
    <row r="1098" ht="15.75" customHeight="1">
      <c r="D1098" s="18"/>
      <c r="H1098" s="19"/>
      <c r="I1098" s="12"/>
      <c r="J1098" s="16"/>
    </row>
    <row r="1099" ht="15.75" customHeight="1">
      <c r="D1099" s="18"/>
      <c r="H1099" s="19"/>
      <c r="I1099" s="12"/>
      <c r="J1099" s="16"/>
    </row>
    <row r="1100" ht="15.75" customHeight="1">
      <c r="D1100" s="18"/>
      <c r="I1100" s="12"/>
      <c r="J1100" s="13"/>
    </row>
    <row r="1101" ht="15.75" customHeight="1">
      <c r="D1101" s="18"/>
      <c r="I1101" s="12"/>
      <c r="J1101" s="13"/>
    </row>
    <row r="1102" ht="15.75" customHeight="1">
      <c r="A1102" s="20"/>
      <c r="D1102" s="18"/>
      <c r="H1102" s="19"/>
      <c r="J1102" s="16"/>
    </row>
    <row r="1103" ht="15.75" customHeight="1">
      <c r="D1103" s="18"/>
      <c r="H1103" s="19"/>
      <c r="J1103" s="13"/>
    </row>
    <row r="1104" ht="15.75" customHeight="1">
      <c r="D1104" s="18"/>
      <c r="H1104" s="19"/>
      <c r="J1104" s="13"/>
    </row>
    <row r="1105" ht="15.75" customHeight="1">
      <c r="D1105" s="18"/>
      <c r="H1105" s="19"/>
      <c r="J1105" s="16"/>
    </row>
    <row r="1106" ht="15.75" customHeight="1">
      <c r="D1106" s="18"/>
      <c r="H1106" s="19"/>
      <c r="J1106" s="16"/>
    </row>
    <row r="1107" ht="15.75" customHeight="1">
      <c r="D1107" s="18"/>
      <c r="I1107" s="12"/>
      <c r="J1107" s="13"/>
    </row>
    <row r="1108" ht="15.75" customHeight="1">
      <c r="D1108" s="18"/>
      <c r="I1108" s="12"/>
      <c r="J1108" s="13"/>
    </row>
    <row r="1109" ht="15.75" customHeight="1">
      <c r="D1109" s="18"/>
      <c r="I1109" s="12"/>
      <c r="J1109" s="13"/>
    </row>
    <row r="1110" ht="15.75" customHeight="1">
      <c r="D1110" s="18"/>
      <c r="H1110" s="19"/>
      <c r="I1110" s="12"/>
      <c r="J1110" s="13"/>
    </row>
    <row r="1111" ht="15.75" customHeight="1">
      <c r="D1111" s="18"/>
      <c r="H1111" s="19"/>
      <c r="I1111" s="12"/>
      <c r="J1111" s="13"/>
    </row>
    <row r="1112" ht="15.75" customHeight="1">
      <c r="D1112" s="18"/>
      <c r="H1112" s="19"/>
      <c r="J1112" s="16"/>
    </row>
    <row r="1113" ht="15.75" customHeight="1">
      <c r="D1113" s="18"/>
      <c r="H1113" s="19"/>
      <c r="J1113" s="16"/>
    </row>
    <row r="1114" ht="15.75" customHeight="1">
      <c r="D1114" s="18"/>
      <c r="H1114" s="19"/>
      <c r="J1114" s="16"/>
    </row>
    <row r="1115" ht="15.75" customHeight="1">
      <c r="D1115" s="18"/>
      <c r="H1115" s="19"/>
      <c r="I1115" s="12"/>
      <c r="J1115" s="13"/>
    </row>
    <row r="1116" ht="15.75" customHeight="1">
      <c r="D1116" s="18"/>
      <c r="H1116" s="19"/>
      <c r="J1116" s="16"/>
    </row>
    <row r="1117" ht="15.75" customHeight="1">
      <c r="D1117" s="18"/>
      <c r="H1117" s="19"/>
      <c r="I1117" s="12"/>
      <c r="J1117" s="13"/>
    </row>
    <row r="1118" ht="15.75" customHeight="1">
      <c r="D1118" s="18"/>
      <c r="H1118" s="19"/>
      <c r="I1118" s="12"/>
      <c r="J1118" s="16"/>
    </row>
    <row r="1119" ht="15.75" customHeight="1">
      <c r="D1119" s="18"/>
      <c r="H1119" s="19"/>
      <c r="I1119" s="12"/>
      <c r="J1119" s="16"/>
    </row>
    <row r="1120" ht="15.75" customHeight="1">
      <c r="D1120" s="18"/>
      <c r="H1120" s="19"/>
      <c r="I1120" s="12"/>
      <c r="J1120" s="16"/>
    </row>
    <row r="1121" ht="15.75" customHeight="1">
      <c r="D1121" s="18"/>
      <c r="H1121" s="19"/>
      <c r="J1121" s="16"/>
    </row>
    <row r="1122" ht="15.75" customHeight="1">
      <c r="D1122" s="18"/>
      <c r="J1122" s="16"/>
    </row>
    <row r="1123" ht="15.75" customHeight="1">
      <c r="D1123" s="18"/>
      <c r="H1123" s="19"/>
      <c r="J1123" s="16"/>
    </row>
    <row r="1124" ht="15.75" customHeight="1">
      <c r="D1124" s="18"/>
      <c r="H1124" s="19"/>
      <c r="I1124" s="12"/>
      <c r="J1124" s="13"/>
    </row>
    <row r="1125" ht="15.75" customHeight="1">
      <c r="D1125" s="18"/>
      <c r="J1125" s="13"/>
    </row>
    <row r="1126" ht="15.75" customHeight="1">
      <c r="A1126" s="20"/>
      <c r="D1126" s="18"/>
      <c r="H1126" s="19"/>
      <c r="I1126" s="12"/>
      <c r="J1126" s="16"/>
    </row>
    <row r="1127" ht="15.75" customHeight="1">
      <c r="A1127" s="20"/>
      <c r="D1127" s="18"/>
      <c r="H1127" s="19"/>
      <c r="I1127" s="12"/>
      <c r="J1127" s="16"/>
    </row>
    <row r="1128" ht="15.75" customHeight="1">
      <c r="H1128" s="19"/>
      <c r="I1128" s="12"/>
      <c r="J1128" s="16"/>
    </row>
    <row r="1129" ht="15.75" customHeight="1">
      <c r="D1129" s="18"/>
      <c r="I1129" s="12"/>
      <c r="J1129" s="13"/>
    </row>
    <row r="1130" ht="15.75" customHeight="1">
      <c r="D1130" s="18"/>
      <c r="I1130" s="12"/>
      <c r="J1130" s="13"/>
    </row>
    <row r="1131" ht="15.75" customHeight="1">
      <c r="D1131" s="18"/>
      <c r="H1131" s="19"/>
      <c r="I1131" s="12"/>
      <c r="J1131" s="13"/>
    </row>
    <row r="1132" ht="15.75" customHeight="1">
      <c r="D1132" s="18"/>
      <c r="H1132" s="19"/>
      <c r="I1132" s="12"/>
      <c r="J1132" s="16"/>
    </row>
    <row r="1133" ht="15.75" customHeight="1">
      <c r="D1133" s="18"/>
      <c r="H1133" s="19"/>
      <c r="I1133" s="12"/>
      <c r="J1133" s="13"/>
    </row>
    <row r="1134" ht="15.75" customHeight="1">
      <c r="A1134" s="20"/>
      <c r="D1134" s="18"/>
      <c r="H1134" s="19"/>
      <c r="J1134" s="16"/>
    </row>
    <row r="1135" ht="15.75" customHeight="1">
      <c r="A1135" s="20"/>
      <c r="D1135" s="18"/>
      <c r="H1135" s="19"/>
      <c r="I1135" s="12"/>
      <c r="J1135" s="16"/>
    </row>
    <row r="1136" ht="15.75" customHeight="1">
      <c r="D1136" s="18"/>
      <c r="H1136" s="19"/>
      <c r="I1136" s="12"/>
      <c r="J1136" s="13"/>
    </row>
    <row r="1137" ht="15.75" customHeight="1">
      <c r="D1137" s="18"/>
      <c r="H1137" s="19"/>
      <c r="I1137" s="12"/>
      <c r="J1137" s="13"/>
    </row>
    <row r="1138" ht="15.75" customHeight="1">
      <c r="D1138" s="18"/>
      <c r="H1138" s="19"/>
      <c r="J1138" s="16"/>
    </row>
    <row r="1139" ht="15.75" customHeight="1">
      <c r="D1139" s="18"/>
      <c r="H1139" s="19"/>
      <c r="I1139" s="12"/>
      <c r="J1139" s="16"/>
    </row>
    <row r="1140" ht="15.75" customHeight="1">
      <c r="D1140" s="18"/>
      <c r="H1140" s="19"/>
      <c r="J1140" s="16"/>
    </row>
    <row r="1141" ht="15.75" customHeight="1">
      <c r="D1141" s="18"/>
      <c r="I1141" s="12"/>
      <c r="J1141" s="16"/>
    </row>
    <row r="1142" ht="15.75" customHeight="1">
      <c r="D1142" s="18"/>
      <c r="H1142" s="19"/>
      <c r="I1142" s="12"/>
      <c r="J1142" s="16"/>
    </row>
    <row r="1143" ht="15.75" customHeight="1">
      <c r="A1143" s="20"/>
      <c r="D1143" s="18"/>
      <c r="H1143" s="19"/>
      <c r="I1143" s="12"/>
      <c r="J1143" s="13"/>
    </row>
    <row r="1144" ht="15.75" customHeight="1">
      <c r="D1144" s="18"/>
      <c r="I1144" s="12"/>
      <c r="J1144" s="13"/>
    </row>
    <row r="1145" ht="15.75" customHeight="1">
      <c r="D1145" s="18"/>
      <c r="H1145" s="19"/>
      <c r="J1145" s="16"/>
    </row>
    <row r="1146" ht="15.75" customHeight="1">
      <c r="D1146" s="18"/>
      <c r="H1146" s="19"/>
      <c r="I1146" s="12"/>
      <c r="J1146" s="13"/>
    </row>
    <row r="1147" ht="15.75" customHeight="1">
      <c r="D1147" s="18"/>
      <c r="I1147" s="12"/>
      <c r="J1147" s="16"/>
    </row>
    <row r="1148" ht="15.75" customHeight="1">
      <c r="D1148" s="18"/>
      <c r="H1148" s="19"/>
      <c r="I1148" s="12"/>
      <c r="J1148" s="13"/>
    </row>
    <row r="1149" ht="15.75" customHeight="1">
      <c r="D1149" s="18"/>
      <c r="I1149" s="12"/>
      <c r="J1149" s="13"/>
    </row>
    <row r="1150" ht="15.75" customHeight="1">
      <c r="D1150" s="18"/>
      <c r="I1150" s="12"/>
      <c r="J1150" s="13"/>
    </row>
    <row r="1151" ht="15.75" customHeight="1">
      <c r="D1151" s="18"/>
      <c r="I1151" s="12"/>
      <c r="J1151" s="13"/>
    </row>
    <row r="1152" ht="15.75" customHeight="1">
      <c r="D1152" s="18"/>
      <c r="H1152" s="19"/>
      <c r="I1152" s="12"/>
      <c r="J1152" s="16"/>
    </row>
    <row r="1153" ht="15.75" customHeight="1">
      <c r="D1153" s="18"/>
      <c r="H1153" s="19"/>
      <c r="I1153" s="12"/>
      <c r="J1153" s="13"/>
    </row>
    <row r="1154" ht="15.75" customHeight="1">
      <c r="D1154" s="18"/>
      <c r="H1154" s="19"/>
      <c r="J1154" s="13"/>
    </row>
    <row r="1155" ht="15.75" customHeight="1">
      <c r="A1155" s="20"/>
      <c r="D1155" s="18"/>
      <c r="J1155" s="16"/>
    </row>
    <row r="1156" ht="15.75" customHeight="1">
      <c r="D1156" s="18"/>
      <c r="H1156" s="19"/>
      <c r="J1156" s="16"/>
    </row>
    <row r="1157" ht="15.75" customHeight="1">
      <c r="A1157" s="20"/>
      <c r="D1157" s="18"/>
      <c r="H1157" s="19"/>
      <c r="J1157" s="16"/>
    </row>
    <row r="1158" ht="15.75" customHeight="1">
      <c r="D1158" s="18"/>
      <c r="I1158" s="12"/>
      <c r="J1158" s="13"/>
    </row>
    <row r="1159" ht="15.75" customHeight="1">
      <c r="A1159" s="20"/>
      <c r="D1159" s="18"/>
      <c r="J1159" s="13"/>
    </row>
    <row r="1160" ht="15.75" customHeight="1">
      <c r="D1160" s="18"/>
      <c r="J1160" s="16"/>
    </row>
    <row r="1161" ht="15.75" customHeight="1">
      <c r="D1161" s="18"/>
      <c r="H1161" s="19"/>
      <c r="J1161" s="16"/>
    </row>
    <row r="1162" ht="15.75" customHeight="1">
      <c r="D1162" s="18"/>
      <c r="J1162" s="13"/>
    </row>
    <row r="1163" ht="15.75" customHeight="1">
      <c r="D1163" s="18"/>
      <c r="H1163" s="19"/>
      <c r="I1163" s="12"/>
      <c r="J1163" s="16"/>
    </row>
    <row r="1164" ht="15.75" customHeight="1">
      <c r="D1164" s="18"/>
      <c r="H1164" s="19"/>
      <c r="I1164" s="12"/>
      <c r="J1164" s="16"/>
    </row>
    <row r="1165" ht="15.75" customHeight="1">
      <c r="D1165" s="18"/>
      <c r="H1165" s="19"/>
      <c r="I1165" s="12"/>
      <c r="J1165" s="16"/>
    </row>
    <row r="1166" ht="15.75" customHeight="1">
      <c r="D1166" s="18"/>
      <c r="H1166" s="19"/>
      <c r="I1166" s="12"/>
      <c r="J1166" s="16"/>
    </row>
    <row r="1167" ht="15.75" customHeight="1">
      <c r="D1167" s="18"/>
      <c r="H1167" s="19"/>
      <c r="I1167" s="12"/>
      <c r="J1167" s="16"/>
    </row>
    <row r="1168" ht="15.75" customHeight="1">
      <c r="D1168" s="18"/>
      <c r="H1168" s="19"/>
      <c r="J1168" s="16"/>
    </row>
    <row r="1169" ht="15.75" customHeight="1">
      <c r="D1169" s="18"/>
      <c r="I1169" s="12"/>
      <c r="J1169" s="13"/>
    </row>
    <row r="1170" ht="15.75" customHeight="1">
      <c r="D1170" s="18"/>
      <c r="H1170" s="19"/>
      <c r="I1170" s="12"/>
      <c r="J1170" s="16"/>
    </row>
    <row r="1171" ht="15.75" customHeight="1">
      <c r="D1171" s="18"/>
      <c r="I1171" s="12"/>
      <c r="J1171" s="13"/>
    </row>
    <row r="1172" ht="15.75" customHeight="1">
      <c r="D1172" s="18"/>
      <c r="I1172" s="12"/>
      <c r="J1172" s="16"/>
    </row>
    <row r="1173" ht="15.75" customHeight="1">
      <c r="D1173" s="18"/>
      <c r="H1173" s="19"/>
      <c r="I1173" s="12"/>
      <c r="J1173" s="16"/>
    </row>
    <row r="1174" ht="15.75" customHeight="1">
      <c r="D1174" s="18"/>
      <c r="H1174" s="19"/>
      <c r="J1174" s="13"/>
    </row>
    <row r="1175" ht="15.75" customHeight="1">
      <c r="D1175" s="18"/>
      <c r="I1175" s="12"/>
      <c r="J1175" s="16"/>
    </row>
    <row r="1176" ht="15.75" customHeight="1">
      <c r="D1176" s="18"/>
      <c r="H1176" s="19"/>
      <c r="I1176" s="12"/>
      <c r="J1176" s="16"/>
    </row>
    <row r="1177" ht="15.75" customHeight="1">
      <c r="D1177" s="18"/>
      <c r="I1177" s="12"/>
      <c r="J1177" s="16"/>
    </row>
    <row r="1178" ht="15.75" customHeight="1">
      <c r="D1178" s="18"/>
      <c r="H1178" s="19"/>
      <c r="J1178" s="16"/>
    </row>
    <row r="1179" ht="15.75" customHeight="1">
      <c r="D1179" s="18"/>
      <c r="H1179" s="19"/>
      <c r="I1179" s="12"/>
      <c r="J1179" s="13"/>
    </row>
    <row r="1180" ht="15.75" customHeight="1">
      <c r="D1180" s="18"/>
      <c r="J1180" s="13"/>
    </row>
    <row r="1181" ht="15.75" customHeight="1">
      <c r="D1181" s="18"/>
      <c r="H1181" s="19"/>
      <c r="I1181" s="12"/>
      <c r="J1181" s="13"/>
    </row>
    <row r="1182" ht="15.75" customHeight="1">
      <c r="D1182" s="18"/>
      <c r="H1182" s="19"/>
      <c r="I1182" s="12"/>
      <c r="J1182" s="16"/>
    </row>
    <row r="1183" ht="15.75" customHeight="1">
      <c r="D1183" s="18"/>
      <c r="H1183" s="19"/>
      <c r="I1183" s="12"/>
      <c r="J1183" s="16"/>
    </row>
    <row r="1184" ht="15.75" customHeight="1">
      <c r="D1184" s="18"/>
      <c r="H1184" s="19"/>
      <c r="J1184" s="16"/>
    </row>
    <row r="1185" ht="15.75" customHeight="1">
      <c r="D1185" s="18"/>
      <c r="H1185" s="19"/>
      <c r="J1185" s="16"/>
    </row>
    <row r="1186" ht="15.75" customHeight="1">
      <c r="D1186" s="18"/>
      <c r="H1186" s="19"/>
      <c r="J1186" s="16"/>
    </row>
    <row r="1187" ht="15.75" customHeight="1">
      <c r="D1187" s="18"/>
      <c r="J1187" s="13"/>
    </row>
    <row r="1188" ht="15.75" customHeight="1">
      <c r="A1188" s="20"/>
      <c r="D1188" s="18"/>
      <c r="H1188" s="19"/>
      <c r="I1188" s="12"/>
      <c r="J1188" s="13"/>
    </row>
    <row r="1189" ht="15.75" customHeight="1">
      <c r="D1189" s="18"/>
      <c r="H1189" s="19"/>
      <c r="I1189" s="12"/>
      <c r="J1189" s="13"/>
    </row>
    <row r="1190" ht="15.75" customHeight="1">
      <c r="D1190" s="18"/>
      <c r="H1190" s="19"/>
      <c r="I1190" s="12"/>
      <c r="J1190" s="13"/>
    </row>
    <row r="1191" ht="15.75" customHeight="1">
      <c r="D1191" s="18"/>
      <c r="H1191" s="19"/>
      <c r="I1191" s="12"/>
      <c r="J1191" s="16"/>
    </row>
    <row r="1192" ht="15.75" customHeight="1">
      <c r="D1192" s="18"/>
      <c r="H1192" s="19"/>
      <c r="I1192" s="12"/>
      <c r="J1192" s="16"/>
    </row>
    <row r="1193" ht="15.75" customHeight="1">
      <c r="D1193" s="18"/>
      <c r="I1193" s="12"/>
      <c r="J1193" s="13"/>
    </row>
    <row r="1194" ht="15.75" customHeight="1">
      <c r="D1194" s="18"/>
      <c r="J1194" s="13"/>
    </row>
    <row r="1195" ht="15.75" customHeight="1">
      <c r="D1195" s="18"/>
      <c r="I1195" s="12"/>
      <c r="J1195" s="16"/>
    </row>
    <row r="1196" ht="15.75" customHeight="1">
      <c r="D1196" s="18"/>
      <c r="H1196" s="19"/>
      <c r="I1196" s="12"/>
      <c r="J1196" s="16"/>
    </row>
    <row r="1197" ht="15.75" customHeight="1">
      <c r="D1197" s="18"/>
      <c r="I1197" s="12"/>
      <c r="J1197" s="13"/>
    </row>
    <row r="1198" ht="15.75" customHeight="1">
      <c r="D1198" s="18"/>
      <c r="I1198" s="12"/>
      <c r="J1198" s="13"/>
    </row>
    <row r="1199" ht="15.75" customHeight="1">
      <c r="D1199" s="18"/>
      <c r="H1199" s="19"/>
      <c r="I1199" s="12"/>
      <c r="J1199" s="16"/>
    </row>
    <row r="1200" ht="15.75" customHeight="1">
      <c r="D1200" s="18"/>
      <c r="H1200" s="19"/>
      <c r="I1200" s="12"/>
      <c r="J1200" s="16"/>
    </row>
    <row r="1201" ht="15.75" customHeight="1">
      <c r="D1201" s="18"/>
      <c r="H1201" s="19"/>
      <c r="I1201" s="12"/>
      <c r="J1201" s="16"/>
    </row>
    <row r="1202" ht="15.75" customHeight="1">
      <c r="D1202" s="18"/>
      <c r="J1202" s="13"/>
    </row>
    <row r="1203" ht="15.75" customHeight="1">
      <c r="A1203" s="20"/>
      <c r="D1203" s="18"/>
      <c r="H1203" s="19"/>
      <c r="I1203" s="12"/>
      <c r="J1203" s="16"/>
    </row>
    <row r="1204" ht="15.75" customHeight="1">
      <c r="D1204" s="18"/>
      <c r="H1204" s="19"/>
      <c r="J1204" s="16"/>
    </row>
    <row r="1205" ht="15.75" customHeight="1">
      <c r="D1205" s="18"/>
      <c r="H1205" s="19"/>
      <c r="J1205" s="16"/>
    </row>
    <row r="1206" ht="15.75" customHeight="1">
      <c r="D1206" s="18"/>
      <c r="H1206" s="19"/>
      <c r="I1206" s="12"/>
      <c r="J1206" s="13"/>
    </row>
    <row r="1207" ht="15.75" customHeight="1">
      <c r="D1207" s="18"/>
      <c r="H1207" s="19"/>
      <c r="I1207" s="12"/>
      <c r="J1207" s="13"/>
    </row>
    <row r="1208" ht="15.75" customHeight="1">
      <c r="D1208" s="18"/>
      <c r="H1208" s="19"/>
      <c r="J1208" s="16"/>
    </row>
    <row r="1209" ht="15.75" customHeight="1">
      <c r="D1209" s="18"/>
      <c r="H1209" s="19"/>
      <c r="I1209" s="12"/>
      <c r="J1209" s="13"/>
    </row>
    <row r="1210" ht="15.75" customHeight="1">
      <c r="D1210" s="18"/>
      <c r="H1210" s="19"/>
      <c r="J1210" s="16"/>
    </row>
    <row r="1211" ht="15.75" customHeight="1">
      <c r="D1211" s="18"/>
      <c r="H1211" s="19"/>
      <c r="I1211" s="12"/>
      <c r="J1211" s="13"/>
    </row>
    <row r="1212" ht="15.75" customHeight="1">
      <c r="D1212" s="18"/>
      <c r="H1212" s="19"/>
      <c r="J1212" s="16"/>
    </row>
    <row r="1213" ht="15.75" customHeight="1">
      <c r="D1213" s="18"/>
      <c r="I1213" s="12"/>
      <c r="J1213" s="13"/>
    </row>
    <row r="1214" ht="15.75" customHeight="1">
      <c r="D1214" s="18"/>
      <c r="H1214" s="19"/>
      <c r="J1214" s="16"/>
    </row>
    <row r="1215" ht="15.75" customHeight="1">
      <c r="D1215" s="18"/>
      <c r="H1215" s="19"/>
      <c r="I1215" s="12"/>
      <c r="J1215" s="16"/>
    </row>
    <row r="1216" ht="15.75" customHeight="1">
      <c r="D1216" s="18"/>
      <c r="I1216" s="12"/>
      <c r="J1216" s="13"/>
    </row>
    <row r="1217" ht="15.75" customHeight="1">
      <c r="D1217" s="18"/>
      <c r="H1217" s="19"/>
      <c r="I1217" s="12"/>
      <c r="J1217" s="13"/>
    </row>
    <row r="1218" ht="15.75" customHeight="1">
      <c r="D1218" s="18"/>
      <c r="H1218" s="19"/>
      <c r="J1218" s="16"/>
    </row>
    <row r="1219" ht="15.75" customHeight="1">
      <c r="A1219" s="20"/>
      <c r="D1219" s="18"/>
      <c r="H1219" s="19"/>
      <c r="I1219" s="12"/>
      <c r="J1219" s="16"/>
    </row>
    <row r="1220" ht="15.75" customHeight="1">
      <c r="D1220" s="18"/>
      <c r="J1220" s="13"/>
    </row>
    <row r="1221" ht="15.75" customHeight="1">
      <c r="D1221" s="18"/>
      <c r="J1221" s="13"/>
    </row>
    <row r="1222" ht="15.75" customHeight="1">
      <c r="A1222" s="20"/>
      <c r="D1222" s="18"/>
      <c r="J1222" s="13"/>
    </row>
    <row r="1223" ht="15.75" customHeight="1">
      <c r="D1223" s="18"/>
      <c r="I1223" s="12"/>
      <c r="J1223" s="13"/>
    </row>
    <row r="1224" ht="15.75" customHeight="1">
      <c r="D1224" s="18"/>
      <c r="H1224" s="19"/>
      <c r="I1224" s="12"/>
      <c r="J1224" s="16"/>
    </row>
    <row r="1225" ht="15.75" customHeight="1">
      <c r="D1225" s="18"/>
      <c r="I1225" s="12"/>
      <c r="J1225" s="13"/>
    </row>
    <row r="1226" ht="15.75" customHeight="1">
      <c r="D1226" s="18"/>
      <c r="I1226" s="12"/>
      <c r="J1226" s="16"/>
    </row>
    <row r="1227" ht="15.75" customHeight="1">
      <c r="D1227" s="18"/>
      <c r="I1227" s="12"/>
      <c r="J1227" s="13"/>
    </row>
    <row r="1228" ht="15.75" customHeight="1">
      <c r="D1228" s="18"/>
      <c r="H1228" s="19"/>
      <c r="J1228" s="13"/>
    </row>
    <row r="1229" ht="15.75" customHeight="1">
      <c r="D1229" s="18"/>
      <c r="H1229" s="19"/>
      <c r="I1229" s="12"/>
      <c r="J1229" s="16"/>
    </row>
    <row r="1230" ht="15.75" customHeight="1">
      <c r="D1230" s="18"/>
      <c r="H1230" s="19"/>
      <c r="I1230" s="12"/>
      <c r="J1230" s="16"/>
    </row>
    <row r="1231" ht="15.75" customHeight="1">
      <c r="D1231" s="18"/>
      <c r="H1231" s="19"/>
      <c r="J1231" s="13"/>
    </row>
    <row r="1232" ht="15.75" customHeight="1">
      <c r="D1232" s="18"/>
      <c r="H1232" s="19"/>
      <c r="J1232" s="16"/>
    </row>
    <row r="1233" ht="15.75" customHeight="1">
      <c r="D1233" s="18"/>
      <c r="H1233" s="19"/>
      <c r="I1233" s="12"/>
      <c r="J1233" s="16"/>
    </row>
    <row r="1234" ht="15.75" customHeight="1">
      <c r="D1234" s="18"/>
      <c r="H1234" s="19"/>
      <c r="I1234" s="12"/>
      <c r="J1234" s="13"/>
    </row>
    <row r="1235" ht="15.75" customHeight="1">
      <c r="D1235" s="18"/>
      <c r="H1235" s="19"/>
      <c r="J1235" s="13"/>
    </row>
    <row r="1236" ht="15.75" customHeight="1">
      <c r="D1236" s="18"/>
      <c r="H1236" s="19"/>
      <c r="J1236" s="13"/>
    </row>
    <row r="1237" ht="15.75" customHeight="1">
      <c r="A1237" s="20"/>
      <c r="D1237" s="18"/>
      <c r="I1237" s="12"/>
      <c r="J1237" s="13"/>
    </row>
    <row r="1238" ht="15.75" customHeight="1">
      <c r="D1238" s="18"/>
      <c r="I1238" s="12"/>
      <c r="J1238" s="13"/>
    </row>
    <row r="1239" ht="15.75" customHeight="1">
      <c r="D1239" s="18"/>
      <c r="I1239" s="12"/>
      <c r="J1239" s="16"/>
    </row>
    <row r="1240" ht="15.75" customHeight="1">
      <c r="D1240" s="18"/>
      <c r="H1240" s="19"/>
      <c r="I1240" s="12"/>
      <c r="J1240" s="16"/>
    </row>
    <row r="1241" ht="15.75" customHeight="1">
      <c r="D1241" s="18"/>
      <c r="H1241" s="19"/>
      <c r="I1241" s="12"/>
      <c r="J1241" s="13"/>
    </row>
    <row r="1242" ht="15.75" customHeight="1">
      <c r="D1242" s="18"/>
      <c r="H1242" s="19"/>
      <c r="I1242" s="12"/>
      <c r="J1242" s="16"/>
    </row>
    <row r="1243" ht="15.75" customHeight="1">
      <c r="D1243" s="18"/>
      <c r="I1243" s="12"/>
      <c r="J1243" s="13"/>
    </row>
    <row r="1244" ht="15.75" customHeight="1">
      <c r="D1244" s="18"/>
      <c r="H1244" s="19"/>
      <c r="J1244" s="16"/>
    </row>
    <row r="1245" ht="15.75" customHeight="1">
      <c r="D1245" s="18"/>
      <c r="J1245" s="13"/>
    </row>
    <row r="1246" ht="15.75" customHeight="1">
      <c r="D1246" s="18"/>
      <c r="H1246" s="19"/>
      <c r="I1246" s="12"/>
      <c r="J1246" s="16"/>
    </row>
    <row r="1247" ht="15.75" customHeight="1">
      <c r="D1247" s="18"/>
      <c r="H1247" s="19"/>
      <c r="I1247" s="12"/>
      <c r="J1247" s="16"/>
    </row>
    <row r="1248" ht="15.75" customHeight="1">
      <c r="D1248" s="18"/>
      <c r="H1248" s="19"/>
      <c r="I1248" s="12"/>
      <c r="J1248" s="16"/>
    </row>
    <row r="1249" ht="15.75" customHeight="1">
      <c r="A1249" s="20"/>
      <c r="D1249" s="18"/>
      <c r="I1249" s="12"/>
      <c r="J1249" s="13"/>
    </row>
    <row r="1250" ht="15.75" customHeight="1">
      <c r="D1250" s="18"/>
      <c r="I1250" s="12"/>
      <c r="J1250" s="16"/>
    </row>
    <row r="1251" ht="15.75" customHeight="1">
      <c r="A1251" s="20"/>
      <c r="D1251" s="18"/>
      <c r="I1251" s="12"/>
      <c r="J1251" s="16"/>
    </row>
    <row r="1252" ht="15.75" customHeight="1">
      <c r="D1252" s="18"/>
      <c r="H1252" s="19"/>
      <c r="I1252" s="12"/>
      <c r="J1252" s="13"/>
    </row>
    <row r="1253" ht="15.75" customHeight="1">
      <c r="D1253" s="18"/>
      <c r="H1253" s="19"/>
      <c r="I1253" s="12"/>
      <c r="J1253" s="16"/>
    </row>
    <row r="1254" ht="15.75" customHeight="1">
      <c r="D1254" s="18"/>
      <c r="I1254" s="12"/>
      <c r="J1254" s="16"/>
    </row>
    <row r="1255" ht="15.75" customHeight="1">
      <c r="D1255" s="18"/>
      <c r="H1255" s="19"/>
      <c r="J1255" s="16"/>
    </row>
    <row r="1256" ht="15.75" customHeight="1">
      <c r="D1256" s="18"/>
      <c r="H1256" s="19"/>
      <c r="J1256" s="16"/>
    </row>
    <row r="1257" ht="15.75" customHeight="1">
      <c r="D1257" s="18"/>
      <c r="H1257" s="19"/>
      <c r="I1257" s="12"/>
      <c r="J1257" s="16"/>
    </row>
    <row r="1258" ht="15.75" customHeight="1">
      <c r="D1258" s="18"/>
      <c r="I1258" s="12"/>
      <c r="J1258" s="13"/>
    </row>
    <row r="1259" ht="15.75" customHeight="1">
      <c r="D1259" s="18"/>
      <c r="H1259" s="19"/>
      <c r="J1259" s="16"/>
    </row>
    <row r="1260" ht="15.75" customHeight="1">
      <c r="D1260" s="18"/>
      <c r="H1260" s="19"/>
      <c r="I1260" s="12"/>
      <c r="J1260" s="16"/>
    </row>
    <row r="1261" ht="15.75" customHeight="1">
      <c r="D1261" s="18"/>
      <c r="H1261" s="19"/>
      <c r="I1261" s="12"/>
      <c r="J1261" s="16"/>
    </row>
    <row r="1262" ht="15.75" customHeight="1">
      <c r="D1262" s="18"/>
      <c r="H1262" s="19"/>
      <c r="J1262" s="16"/>
    </row>
    <row r="1263" ht="15.75" customHeight="1">
      <c r="D1263" s="18"/>
      <c r="H1263" s="19"/>
      <c r="I1263" s="12"/>
      <c r="J1263" s="16"/>
    </row>
    <row r="1264" ht="15.75" customHeight="1">
      <c r="D1264" s="18"/>
      <c r="H1264" s="19"/>
      <c r="J1264" s="16"/>
    </row>
    <row r="1265" ht="15.75" customHeight="1">
      <c r="D1265" s="18"/>
      <c r="J1265" s="13"/>
    </row>
    <row r="1266" ht="15.75" customHeight="1">
      <c r="D1266" s="18"/>
      <c r="H1266" s="19"/>
      <c r="J1266" s="16"/>
    </row>
    <row r="1267" ht="15.75" customHeight="1">
      <c r="D1267" s="18"/>
      <c r="J1267" s="13"/>
    </row>
    <row r="1268" ht="15.75" customHeight="1">
      <c r="D1268" s="18"/>
      <c r="J1268" s="16"/>
    </row>
    <row r="1269" ht="15.75" customHeight="1">
      <c r="D1269" s="18"/>
      <c r="H1269" s="19"/>
      <c r="I1269" s="12"/>
      <c r="J1269" s="13"/>
    </row>
    <row r="1270" ht="15.75" customHeight="1">
      <c r="D1270" s="18"/>
      <c r="I1270" s="12"/>
      <c r="J1270" s="13"/>
    </row>
    <row r="1271" ht="15.75" customHeight="1">
      <c r="D1271" s="18"/>
      <c r="H1271" s="19"/>
      <c r="J1271" s="13"/>
    </row>
    <row r="1272" ht="15.75" customHeight="1">
      <c r="D1272" s="18"/>
      <c r="J1272" s="13"/>
    </row>
    <row r="1273" ht="15.75" customHeight="1">
      <c r="D1273" s="18"/>
      <c r="H1273" s="19"/>
      <c r="J1273" s="16"/>
    </row>
    <row r="1274" ht="15.75" customHeight="1">
      <c r="D1274" s="18"/>
      <c r="H1274" s="19"/>
      <c r="J1274" s="16"/>
    </row>
    <row r="1275" ht="15.75" customHeight="1">
      <c r="D1275" s="18"/>
      <c r="H1275" s="19"/>
      <c r="J1275" s="16"/>
    </row>
    <row r="1276" ht="15.75" customHeight="1">
      <c r="D1276" s="18"/>
      <c r="H1276" s="19"/>
      <c r="I1276" s="12"/>
      <c r="J1276" s="16"/>
    </row>
    <row r="1277" ht="15.75" customHeight="1">
      <c r="D1277" s="18"/>
      <c r="H1277" s="19"/>
      <c r="I1277" s="12"/>
      <c r="J1277" s="16"/>
    </row>
    <row r="1278" ht="15.75" customHeight="1">
      <c r="D1278" s="18"/>
      <c r="H1278" s="19"/>
      <c r="J1278" s="16"/>
    </row>
    <row r="1279" ht="15.75" customHeight="1">
      <c r="D1279" s="18"/>
      <c r="J1279" s="13"/>
    </row>
    <row r="1280" ht="15.75" customHeight="1">
      <c r="D1280" s="18"/>
      <c r="H1280" s="19"/>
      <c r="J1280" s="13"/>
    </row>
    <row r="1281" ht="15.75" customHeight="1">
      <c r="A1281" s="20"/>
      <c r="D1281" s="18"/>
      <c r="H1281" s="19"/>
      <c r="J1281" s="13"/>
    </row>
    <row r="1282" ht="15.75" customHeight="1">
      <c r="D1282" s="18"/>
      <c r="H1282" s="19"/>
      <c r="J1282" s="13"/>
    </row>
    <row r="1283" ht="15.75" customHeight="1">
      <c r="D1283" s="18"/>
      <c r="H1283" s="19"/>
      <c r="I1283" s="12"/>
      <c r="J1283" s="13"/>
    </row>
    <row r="1284" ht="15.75" customHeight="1">
      <c r="D1284" s="18"/>
      <c r="J1284" s="13"/>
    </row>
    <row r="1285" ht="15.75" customHeight="1">
      <c r="A1285" s="20"/>
      <c r="D1285" s="18"/>
      <c r="I1285" s="12"/>
      <c r="J1285" s="13"/>
    </row>
    <row r="1286" ht="15.75" customHeight="1">
      <c r="D1286" s="18"/>
      <c r="H1286" s="19"/>
      <c r="J1286" s="16"/>
    </row>
    <row r="1287" ht="15.75" customHeight="1">
      <c r="D1287" s="18"/>
      <c r="H1287" s="19"/>
      <c r="J1287" s="13"/>
    </row>
    <row r="1288" ht="15.75" customHeight="1">
      <c r="D1288" s="18"/>
      <c r="J1288" s="13"/>
    </row>
    <row r="1289" ht="15.75" customHeight="1">
      <c r="D1289" s="18"/>
      <c r="H1289" s="19"/>
      <c r="J1289" s="16"/>
    </row>
    <row r="1290" ht="15.75" customHeight="1">
      <c r="D1290" s="18"/>
      <c r="H1290" s="19"/>
      <c r="J1290" s="16"/>
    </row>
    <row r="1291" ht="15.75" customHeight="1">
      <c r="D1291" s="18"/>
      <c r="H1291" s="19"/>
      <c r="I1291" s="12"/>
      <c r="J1291" s="16"/>
    </row>
    <row r="1292" ht="15.75" customHeight="1">
      <c r="A1292" s="20"/>
      <c r="D1292" s="18"/>
      <c r="I1292" s="12"/>
      <c r="J1292" s="13"/>
    </row>
    <row r="1293" ht="15.75" customHeight="1">
      <c r="D1293" s="18"/>
      <c r="H1293" s="19"/>
      <c r="I1293" s="12"/>
      <c r="J1293" s="13"/>
    </row>
    <row r="1294" ht="15.75" customHeight="1">
      <c r="D1294" s="18"/>
      <c r="J1294" s="13"/>
    </row>
    <row r="1295" ht="15.75" customHeight="1">
      <c r="A1295" s="20"/>
      <c r="D1295" s="18"/>
      <c r="H1295" s="19"/>
      <c r="J1295" s="16"/>
    </row>
    <row r="1296" ht="15.75" customHeight="1">
      <c r="D1296" s="18"/>
      <c r="H1296" s="19"/>
      <c r="J1296" s="16"/>
    </row>
    <row r="1297" ht="15.75" customHeight="1">
      <c r="D1297" s="18"/>
      <c r="H1297" s="19"/>
      <c r="J1297" s="13"/>
    </row>
    <row r="1298" ht="15.75" customHeight="1">
      <c r="D1298" s="18"/>
      <c r="I1298" s="12"/>
      <c r="J1298" s="13"/>
    </row>
    <row r="1299" ht="15.75" customHeight="1">
      <c r="D1299" s="18"/>
      <c r="I1299" s="12"/>
      <c r="J1299" s="13"/>
    </row>
    <row r="1300" ht="15.75" customHeight="1">
      <c r="D1300" s="18"/>
      <c r="I1300" s="12"/>
      <c r="J1300" s="13"/>
    </row>
    <row r="1301" ht="15.75" customHeight="1">
      <c r="D1301" s="18"/>
      <c r="I1301" s="12"/>
      <c r="J1301" s="13"/>
    </row>
    <row r="1302" ht="15.75" customHeight="1">
      <c r="D1302" s="18"/>
      <c r="H1302" s="19"/>
      <c r="I1302" s="12"/>
      <c r="J1302" s="13"/>
    </row>
    <row r="1303" ht="15.75" customHeight="1">
      <c r="D1303" s="18"/>
      <c r="H1303" s="19"/>
      <c r="I1303" s="12"/>
      <c r="J1303" s="13"/>
    </row>
    <row r="1304" ht="15.75" customHeight="1">
      <c r="D1304" s="18"/>
      <c r="I1304" s="12"/>
      <c r="J1304" s="13"/>
    </row>
    <row r="1305" ht="15.75" customHeight="1">
      <c r="D1305" s="18"/>
      <c r="H1305" s="19"/>
      <c r="J1305" s="13"/>
    </row>
    <row r="1306" ht="15.75" customHeight="1">
      <c r="D1306" s="18"/>
      <c r="H1306" s="19"/>
      <c r="I1306" s="12"/>
      <c r="J1306" s="16"/>
    </row>
    <row r="1307" ht="15.75" customHeight="1">
      <c r="D1307" s="18"/>
      <c r="J1307" s="16"/>
    </row>
    <row r="1308" ht="15.75" customHeight="1">
      <c r="D1308" s="18"/>
      <c r="H1308" s="19"/>
      <c r="J1308" s="16"/>
    </row>
    <row r="1309" ht="15.75" customHeight="1">
      <c r="A1309" s="20"/>
      <c r="D1309" s="18"/>
      <c r="H1309" s="19"/>
      <c r="J1309" s="13"/>
    </row>
    <row r="1310" ht="15.75" customHeight="1">
      <c r="D1310" s="18"/>
      <c r="J1310" s="13"/>
    </row>
    <row r="1311" ht="15.75" customHeight="1">
      <c r="D1311" s="18"/>
      <c r="I1311" s="12"/>
      <c r="J1311" s="13"/>
    </row>
    <row r="1312" ht="15.75" customHeight="1">
      <c r="D1312" s="18"/>
      <c r="I1312" s="12"/>
      <c r="J1312" s="13"/>
    </row>
    <row r="1313" ht="15.75" customHeight="1">
      <c r="A1313" s="20"/>
      <c r="D1313" s="18"/>
      <c r="I1313" s="12"/>
      <c r="J1313" s="16"/>
    </row>
    <row r="1314" ht="15.75" customHeight="1">
      <c r="D1314" s="18"/>
      <c r="H1314" s="19"/>
      <c r="I1314" s="12"/>
      <c r="J1314" s="13"/>
    </row>
    <row r="1315" ht="15.75" customHeight="1">
      <c r="D1315" s="18"/>
      <c r="H1315" s="19"/>
      <c r="J1315" s="13"/>
    </row>
    <row r="1316" ht="15.75" customHeight="1">
      <c r="D1316" s="18"/>
      <c r="H1316" s="19"/>
      <c r="J1316" s="16"/>
    </row>
    <row r="1317" ht="15.75" customHeight="1">
      <c r="D1317" s="18"/>
      <c r="J1317" s="13"/>
    </row>
    <row r="1318" ht="15.75" customHeight="1">
      <c r="A1318" s="20"/>
      <c r="D1318" s="18"/>
      <c r="H1318" s="19"/>
      <c r="I1318" s="12"/>
      <c r="J1318" s="16"/>
    </row>
    <row r="1319" ht="15.75" customHeight="1">
      <c r="D1319" s="18"/>
      <c r="J1319" s="13"/>
    </row>
    <row r="1320" ht="15.75" customHeight="1">
      <c r="A1320" s="20"/>
      <c r="D1320" s="18"/>
      <c r="J1320" s="13"/>
    </row>
    <row r="1321" ht="15.75" customHeight="1">
      <c r="D1321" s="18"/>
      <c r="H1321" s="19"/>
      <c r="I1321" s="12"/>
      <c r="J1321" s="16"/>
    </row>
    <row r="1322" ht="15.75" customHeight="1">
      <c r="D1322" s="18"/>
      <c r="J1322" s="13"/>
    </row>
    <row r="1323" ht="15.75" customHeight="1">
      <c r="D1323" s="18"/>
      <c r="H1323" s="19"/>
      <c r="J1323" s="13"/>
    </row>
    <row r="1324" ht="15.75" customHeight="1">
      <c r="A1324" s="20"/>
      <c r="D1324" s="18"/>
      <c r="H1324" s="19"/>
      <c r="J1324" s="16"/>
    </row>
    <row r="1325" ht="15.75" customHeight="1">
      <c r="D1325" s="18"/>
      <c r="H1325" s="19"/>
      <c r="J1325" s="13"/>
    </row>
    <row r="1326" ht="15.75" customHeight="1">
      <c r="D1326" s="18"/>
      <c r="H1326" s="19"/>
      <c r="I1326" s="12"/>
      <c r="J1326" s="13"/>
    </row>
    <row r="1327" ht="15.75" customHeight="1">
      <c r="D1327" s="18"/>
      <c r="H1327" s="19"/>
      <c r="I1327" s="12"/>
      <c r="J1327" s="13"/>
    </row>
    <row r="1328" ht="15.75" customHeight="1">
      <c r="D1328" s="18"/>
      <c r="H1328" s="19"/>
      <c r="I1328" s="12"/>
      <c r="J1328" s="16"/>
    </row>
    <row r="1329" ht="15.75" customHeight="1">
      <c r="D1329" s="18"/>
      <c r="H1329" s="19"/>
      <c r="J1329" s="13"/>
    </row>
    <row r="1330" ht="15.75" customHeight="1">
      <c r="D1330" s="18"/>
      <c r="H1330" s="19"/>
      <c r="J1330" s="16"/>
    </row>
    <row r="1331" ht="15.75" customHeight="1">
      <c r="D1331" s="18"/>
      <c r="H1331" s="19"/>
      <c r="J1331" s="13"/>
    </row>
    <row r="1332" ht="15.75" customHeight="1">
      <c r="D1332" s="18"/>
      <c r="H1332" s="19"/>
      <c r="I1332" s="12"/>
      <c r="J1332" s="13"/>
    </row>
    <row r="1333" ht="15.75" customHeight="1">
      <c r="D1333" s="18"/>
      <c r="H1333" s="19"/>
      <c r="I1333" s="12"/>
      <c r="J1333" s="16"/>
    </row>
    <row r="1334" ht="15.75" customHeight="1">
      <c r="A1334" s="20"/>
      <c r="D1334" s="18"/>
      <c r="H1334" s="19"/>
      <c r="I1334" s="12"/>
      <c r="J1334" s="16"/>
    </row>
    <row r="1335" ht="15.75" customHeight="1">
      <c r="A1335" s="20"/>
      <c r="D1335" s="18"/>
      <c r="H1335" s="19"/>
      <c r="I1335" s="12"/>
      <c r="J1335" s="16"/>
    </row>
    <row r="1336" ht="15.75" customHeight="1">
      <c r="D1336" s="18"/>
      <c r="I1336" s="12"/>
      <c r="J1336" s="16"/>
    </row>
    <row r="1337" ht="15.75" customHeight="1">
      <c r="A1337" s="20"/>
      <c r="D1337" s="18"/>
      <c r="I1337" s="12"/>
      <c r="J1337" s="13"/>
    </row>
    <row r="1338" ht="15.75" customHeight="1">
      <c r="D1338" s="18"/>
      <c r="H1338" s="19"/>
      <c r="J1338" s="16"/>
    </row>
    <row r="1339" ht="15.75" customHeight="1">
      <c r="D1339" s="18"/>
      <c r="I1339" s="12"/>
      <c r="J1339" s="13"/>
    </row>
    <row r="1340" ht="15.75" customHeight="1">
      <c r="D1340" s="18"/>
      <c r="H1340" s="19"/>
      <c r="I1340" s="12"/>
      <c r="J1340" s="16"/>
    </row>
    <row r="1341" ht="15.75" customHeight="1">
      <c r="D1341" s="18"/>
      <c r="H1341" s="19"/>
      <c r="I1341" s="12"/>
      <c r="J1341" s="16"/>
    </row>
    <row r="1342" ht="15.75" customHeight="1">
      <c r="D1342" s="18"/>
      <c r="H1342" s="19"/>
      <c r="I1342" s="12"/>
      <c r="J1342" s="16"/>
    </row>
    <row r="1343" ht="15.75" customHeight="1">
      <c r="D1343" s="18"/>
      <c r="H1343" s="19"/>
      <c r="I1343" s="12"/>
      <c r="J1343" s="13"/>
    </row>
    <row r="1344" ht="15.75" customHeight="1">
      <c r="D1344" s="18"/>
      <c r="I1344" s="12"/>
      <c r="J1344" s="13"/>
    </row>
    <row r="1345" ht="15.75" customHeight="1">
      <c r="D1345" s="18"/>
      <c r="H1345" s="19"/>
      <c r="J1345" s="13"/>
    </row>
    <row r="1346" ht="15.75" customHeight="1">
      <c r="D1346" s="18"/>
      <c r="H1346" s="19"/>
      <c r="J1346" s="16"/>
    </row>
    <row r="1347" ht="15.75" customHeight="1">
      <c r="D1347" s="18"/>
      <c r="I1347" s="12"/>
      <c r="J1347" s="13"/>
    </row>
    <row r="1348" ht="15.75" customHeight="1">
      <c r="D1348" s="18"/>
      <c r="H1348" s="19"/>
      <c r="I1348" s="12"/>
      <c r="J1348" s="16"/>
    </row>
    <row r="1349" ht="15.75" customHeight="1">
      <c r="D1349" s="18"/>
      <c r="H1349" s="19"/>
      <c r="I1349" s="12"/>
      <c r="J1349" s="16"/>
    </row>
    <row r="1350" ht="15.75" customHeight="1">
      <c r="D1350" s="18"/>
      <c r="H1350" s="19"/>
      <c r="J1350" s="16"/>
    </row>
    <row r="1351" ht="15.75" customHeight="1">
      <c r="D1351" s="18"/>
      <c r="H1351" s="19"/>
      <c r="J1351" s="13"/>
    </row>
    <row r="1352" ht="15.75" customHeight="1">
      <c r="D1352" s="18"/>
      <c r="H1352" s="19"/>
      <c r="J1352" s="13"/>
    </row>
    <row r="1353" ht="15.75" customHeight="1">
      <c r="D1353" s="18"/>
      <c r="H1353" s="19"/>
      <c r="I1353" s="12"/>
      <c r="J1353" s="13"/>
    </row>
    <row r="1354" ht="15.75" customHeight="1">
      <c r="D1354" s="18"/>
      <c r="H1354" s="19"/>
      <c r="I1354" s="12"/>
      <c r="J1354" s="13"/>
    </row>
    <row r="1355" ht="15.75" customHeight="1">
      <c r="D1355" s="18"/>
      <c r="J1355" s="13"/>
    </row>
    <row r="1356" ht="15.75" customHeight="1">
      <c r="D1356" s="18"/>
      <c r="H1356" s="19"/>
      <c r="I1356" s="12"/>
      <c r="J1356" s="13"/>
    </row>
    <row r="1357" ht="15.75" customHeight="1">
      <c r="D1357" s="18"/>
      <c r="I1357" s="12"/>
      <c r="J1357" s="13"/>
    </row>
    <row r="1358" ht="15.75" customHeight="1">
      <c r="D1358" s="18"/>
      <c r="I1358" s="12"/>
      <c r="J1358" s="13"/>
    </row>
    <row r="1359" ht="15.75" customHeight="1">
      <c r="D1359" s="18"/>
      <c r="H1359" s="19"/>
      <c r="I1359" s="12"/>
      <c r="J1359" s="16"/>
    </row>
    <row r="1360" ht="15.75" customHeight="1">
      <c r="D1360" s="18"/>
      <c r="H1360" s="19"/>
      <c r="I1360" s="12"/>
      <c r="J1360" s="16"/>
    </row>
    <row r="1361" ht="15.75" customHeight="1">
      <c r="D1361" s="18"/>
      <c r="H1361" s="19"/>
      <c r="J1361" s="13"/>
    </row>
    <row r="1362" ht="15.75" customHeight="1">
      <c r="A1362" s="20"/>
      <c r="D1362" s="18"/>
      <c r="H1362" s="19"/>
      <c r="J1362" s="16"/>
    </row>
    <row r="1363" ht="15.75" customHeight="1">
      <c r="D1363" s="18"/>
      <c r="H1363" s="19"/>
      <c r="I1363" s="12"/>
      <c r="J1363" s="16"/>
    </row>
    <row r="1364" ht="15.75" customHeight="1">
      <c r="A1364" s="20"/>
      <c r="D1364" s="18"/>
      <c r="H1364" s="19"/>
      <c r="J1364" s="16"/>
    </row>
    <row r="1365" ht="15.75" customHeight="1">
      <c r="D1365" s="18"/>
      <c r="H1365" s="19"/>
      <c r="I1365" s="12"/>
      <c r="J1365" s="16"/>
    </row>
    <row r="1366" ht="15.75" customHeight="1">
      <c r="D1366" s="18"/>
      <c r="I1366" s="12"/>
      <c r="J1366" s="13"/>
    </row>
    <row r="1367" ht="15.75" customHeight="1">
      <c r="D1367" s="18"/>
      <c r="I1367" s="12"/>
      <c r="J1367" s="16"/>
    </row>
    <row r="1368" ht="15.75" customHeight="1">
      <c r="D1368" s="18"/>
      <c r="H1368" s="19"/>
      <c r="I1368" s="12"/>
      <c r="J1368" s="16"/>
    </row>
    <row r="1369" ht="15.75" customHeight="1">
      <c r="A1369" s="20"/>
      <c r="D1369" s="18"/>
      <c r="H1369" s="19"/>
      <c r="I1369" s="12"/>
      <c r="J1369" s="16"/>
    </row>
    <row r="1370" ht="15.75" customHeight="1">
      <c r="A1370" s="20"/>
      <c r="D1370" s="18"/>
      <c r="H1370" s="19"/>
      <c r="J1370" s="16"/>
    </row>
    <row r="1371" ht="15.75" customHeight="1">
      <c r="D1371" s="18"/>
      <c r="H1371" s="19"/>
      <c r="J1371" s="16"/>
    </row>
    <row r="1372" ht="15.75" customHeight="1">
      <c r="D1372" s="18"/>
      <c r="H1372" s="19"/>
      <c r="I1372" s="12"/>
      <c r="J1372" s="13"/>
    </row>
    <row r="1373" ht="15.75" customHeight="1">
      <c r="D1373" s="18"/>
      <c r="H1373" s="19"/>
      <c r="J1373" s="13"/>
    </row>
    <row r="1374" ht="15.75" customHeight="1">
      <c r="D1374" s="18"/>
      <c r="I1374" s="12"/>
      <c r="J1374" s="13"/>
    </row>
    <row r="1375" ht="15.75" customHeight="1">
      <c r="D1375" s="18"/>
      <c r="I1375" s="12"/>
      <c r="J1375" s="13"/>
    </row>
    <row r="1376" ht="15.75" customHeight="1">
      <c r="D1376" s="18"/>
      <c r="H1376" s="19"/>
      <c r="J1376" s="16"/>
    </row>
    <row r="1377" ht="15.75" customHeight="1">
      <c r="D1377" s="18"/>
      <c r="H1377" s="19"/>
      <c r="I1377" s="12"/>
      <c r="J1377" s="13"/>
    </row>
    <row r="1378" ht="15.75" customHeight="1">
      <c r="D1378" s="18"/>
      <c r="J1378" s="13"/>
    </row>
    <row r="1379" ht="15.75" customHeight="1">
      <c r="D1379" s="18"/>
      <c r="J1379" s="13"/>
    </row>
    <row r="1380" ht="15.75" customHeight="1">
      <c r="D1380" s="18"/>
      <c r="H1380" s="19"/>
      <c r="I1380" s="12"/>
      <c r="J1380" s="13"/>
    </row>
    <row r="1381" ht="15.75" customHeight="1">
      <c r="D1381" s="18"/>
      <c r="H1381" s="19"/>
      <c r="J1381" s="16"/>
    </row>
    <row r="1382" ht="15.75" customHeight="1">
      <c r="D1382" s="18"/>
      <c r="H1382" s="19"/>
      <c r="J1382" s="16"/>
    </row>
    <row r="1383" ht="15.75" customHeight="1">
      <c r="A1383" s="20"/>
      <c r="D1383" s="18"/>
      <c r="I1383" s="12"/>
      <c r="J1383" s="13"/>
    </row>
    <row r="1384" ht="15.75" customHeight="1">
      <c r="A1384" s="20"/>
      <c r="D1384" s="18"/>
      <c r="H1384" s="19"/>
      <c r="I1384" s="12"/>
      <c r="J1384" s="13"/>
    </row>
    <row r="1385" ht="15.75" customHeight="1">
      <c r="D1385" s="18"/>
      <c r="H1385" s="19"/>
      <c r="I1385" s="12"/>
      <c r="J1385" s="13"/>
    </row>
    <row r="1386" ht="15.75" customHeight="1">
      <c r="D1386" s="18"/>
      <c r="H1386" s="19"/>
      <c r="J1386" s="13"/>
    </row>
    <row r="1387" ht="15.75" customHeight="1">
      <c r="D1387" s="18"/>
      <c r="H1387" s="19"/>
      <c r="J1387" s="16"/>
    </row>
    <row r="1388" ht="15.75" customHeight="1">
      <c r="D1388" s="18"/>
      <c r="H1388" s="19"/>
      <c r="J1388" s="16"/>
    </row>
    <row r="1389" ht="15.75" customHeight="1">
      <c r="D1389" s="18"/>
      <c r="H1389" s="19"/>
      <c r="I1389" s="12"/>
      <c r="J1389" s="13"/>
    </row>
    <row r="1390" ht="15.75" customHeight="1">
      <c r="D1390" s="18"/>
      <c r="H1390" s="19"/>
      <c r="I1390" s="12"/>
      <c r="J1390" s="16"/>
    </row>
    <row r="1391" ht="15.75" customHeight="1">
      <c r="D1391" s="18"/>
      <c r="J1391" s="16"/>
    </row>
    <row r="1392" ht="15.75" customHeight="1">
      <c r="D1392" s="18"/>
      <c r="H1392" s="19"/>
      <c r="J1392" s="16"/>
    </row>
    <row r="1393" ht="15.75" customHeight="1">
      <c r="D1393" s="18"/>
      <c r="H1393" s="19"/>
      <c r="I1393" s="12"/>
      <c r="J1393" s="13"/>
    </row>
    <row r="1394" ht="15.75" customHeight="1">
      <c r="D1394" s="18"/>
      <c r="I1394" s="12"/>
      <c r="J1394" s="13"/>
    </row>
    <row r="1395" ht="15.75" customHeight="1">
      <c r="D1395" s="18"/>
      <c r="H1395" s="19"/>
      <c r="J1395" s="16"/>
    </row>
    <row r="1396" ht="15.75" customHeight="1">
      <c r="D1396" s="18"/>
      <c r="H1396" s="19"/>
      <c r="I1396" s="12"/>
      <c r="J1396" s="13"/>
    </row>
    <row r="1397" ht="15.75" customHeight="1">
      <c r="D1397" s="18"/>
      <c r="H1397" s="19"/>
      <c r="J1397" s="13"/>
    </row>
    <row r="1398" ht="15.75" customHeight="1">
      <c r="A1398" s="20"/>
      <c r="D1398" s="18"/>
      <c r="I1398" s="12"/>
      <c r="J1398" s="13"/>
    </row>
    <row r="1399" ht="15.75" customHeight="1">
      <c r="A1399" s="20"/>
      <c r="D1399" s="18"/>
      <c r="I1399" s="12"/>
      <c r="J1399" s="13"/>
    </row>
    <row r="1400" ht="15.75" customHeight="1">
      <c r="A1400" s="20"/>
      <c r="D1400" s="18"/>
      <c r="I1400" s="12"/>
      <c r="J1400" s="13"/>
    </row>
    <row r="1401" ht="15.75" customHeight="1">
      <c r="D1401" s="18"/>
      <c r="H1401" s="19"/>
      <c r="I1401" s="12"/>
      <c r="J1401" s="16"/>
    </row>
    <row r="1402" ht="15.75" customHeight="1">
      <c r="D1402" s="18"/>
      <c r="H1402" s="19"/>
      <c r="J1402" s="16"/>
    </row>
    <row r="1403" ht="15.75" customHeight="1">
      <c r="A1403" s="20"/>
      <c r="D1403" s="18"/>
      <c r="I1403" s="12"/>
      <c r="J1403" s="13"/>
    </row>
    <row r="1404" ht="15.75" customHeight="1">
      <c r="A1404" s="20"/>
      <c r="D1404" s="18"/>
      <c r="H1404" s="19"/>
      <c r="I1404" s="12"/>
      <c r="J1404" s="16"/>
    </row>
    <row r="1405" ht="15.75" customHeight="1">
      <c r="D1405" s="18"/>
      <c r="H1405" s="19"/>
      <c r="J1405" s="13"/>
    </row>
    <row r="1406" ht="15.75" customHeight="1">
      <c r="D1406" s="18"/>
      <c r="I1406" s="12"/>
      <c r="J1406" s="13"/>
    </row>
    <row r="1407" ht="15.75" customHeight="1">
      <c r="D1407" s="18"/>
      <c r="H1407" s="19"/>
      <c r="I1407" s="12"/>
      <c r="J1407" s="16"/>
    </row>
    <row r="1408" ht="15.75" customHeight="1">
      <c r="D1408" s="18"/>
      <c r="H1408" s="19"/>
      <c r="J1408" s="13"/>
    </row>
    <row r="1409" ht="15.75" customHeight="1">
      <c r="D1409" s="18"/>
      <c r="J1409" s="13"/>
    </row>
    <row r="1410" ht="15.75" customHeight="1">
      <c r="D1410" s="18"/>
      <c r="I1410" s="12"/>
      <c r="J1410" s="13"/>
    </row>
    <row r="1411" ht="15.75" customHeight="1">
      <c r="D1411" s="18"/>
      <c r="I1411" s="12"/>
      <c r="J1411" s="13"/>
    </row>
    <row r="1412" ht="15.75" customHeight="1">
      <c r="D1412" s="18"/>
      <c r="I1412" s="12"/>
      <c r="J1412" s="16"/>
    </row>
    <row r="1413" ht="15.75" customHeight="1">
      <c r="A1413" s="20"/>
      <c r="D1413" s="18"/>
      <c r="I1413" s="12"/>
      <c r="J1413" s="16"/>
    </row>
    <row r="1414" ht="15.75" customHeight="1">
      <c r="A1414" s="20"/>
      <c r="D1414" s="18"/>
      <c r="I1414" s="12"/>
      <c r="J1414" s="13"/>
    </row>
    <row r="1415" ht="15.75" customHeight="1">
      <c r="D1415" s="18"/>
      <c r="H1415" s="19"/>
      <c r="I1415" s="12"/>
      <c r="J1415" s="13"/>
    </row>
    <row r="1416" ht="15.75" customHeight="1">
      <c r="D1416" s="18"/>
      <c r="H1416" s="19"/>
      <c r="I1416" s="12"/>
      <c r="J1416" s="13"/>
    </row>
    <row r="1417" ht="15.75" customHeight="1">
      <c r="D1417" s="18"/>
      <c r="H1417" s="19"/>
      <c r="I1417" s="12"/>
      <c r="J1417" s="16"/>
    </row>
    <row r="1418" ht="15.75" customHeight="1">
      <c r="A1418" s="20"/>
      <c r="D1418" s="18"/>
      <c r="I1418" s="12"/>
      <c r="J1418" s="13"/>
    </row>
    <row r="1419" ht="15.75" customHeight="1">
      <c r="D1419" s="18"/>
      <c r="H1419" s="19"/>
      <c r="I1419" s="12"/>
      <c r="J1419" s="16"/>
    </row>
    <row r="1420" ht="15.75" customHeight="1">
      <c r="A1420" s="20"/>
      <c r="D1420" s="18"/>
      <c r="I1420" s="12"/>
      <c r="J1420" s="13"/>
    </row>
    <row r="1421" ht="15.75" customHeight="1">
      <c r="A1421" s="20"/>
      <c r="D1421" s="18"/>
      <c r="I1421" s="12"/>
      <c r="J1421" s="16"/>
    </row>
    <row r="1422" ht="15.75" customHeight="1">
      <c r="A1422" s="20"/>
      <c r="D1422" s="18"/>
      <c r="I1422" s="12"/>
      <c r="J1422" s="16"/>
    </row>
    <row r="1423" ht="15.75" customHeight="1">
      <c r="D1423" s="18"/>
      <c r="H1423" s="19"/>
      <c r="I1423" s="5"/>
      <c r="J1423" s="16"/>
    </row>
    <row r="1424" ht="15.75" customHeight="1">
      <c r="D1424" s="18"/>
      <c r="H1424" s="19"/>
      <c r="I1424" s="12"/>
      <c r="J1424" s="16"/>
    </row>
    <row r="1425" ht="15.75" customHeight="1">
      <c r="D1425" s="18"/>
      <c r="H1425" s="19"/>
      <c r="J1425" s="16"/>
    </row>
    <row r="1426" ht="15.75" customHeight="1">
      <c r="D1426" s="18"/>
      <c r="H1426" s="19"/>
      <c r="J1426" s="16"/>
    </row>
    <row r="1427" ht="15.75" customHeight="1">
      <c r="A1427" s="20"/>
      <c r="D1427" s="18"/>
      <c r="I1427" s="12"/>
      <c r="J1427" s="13"/>
    </row>
    <row r="1428" ht="15.75" customHeight="1">
      <c r="A1428" s="20"/>
      <c r="D1428" s="18"/>
      <c r="H1428" s="19"/>
      <c r="I1428" s="12"/>
      <c r="J1428" s="16"/>
    </row>
    <row r="1429" ht="15.75" customHeight="1">
      <c r="A1429" s="20"/>
      <c r="D1429" s="18"/>
      <c r="I1429" s="12"/>
      <c r="J1429" s="16"/>
    </row>
    <row r="1430" ht="15.75" customHeight="1">
      <c r="A1430" s="20"/>
      <c r="D1430" s="18"/>
      <c r="H1430" s="19"/>
      <c r="I1430" s="12"/>
      <c r="J1430" s="16"/>
    </row>
    <row r="1431" ht="15.75" customHeight="1">
      <c r="D1431" s="18"/>
      <c r="H1431" s="19"/>
      <c r="I1431" s="12"/>
      <c r="J1431" s="13"/>
    </row>
    <row r="1432" ht="15.75" customHeight="1">
      <c r="D1432" s="18"/>
      <c r="H1432" s="19"/>
      <c r="I1432" s="12"/>
      <c r="J1432" s="13"/>
    </row>
    <row r="1433" ht="15.75" customHeight="1">
      <c r="D1433" s="18"/>
      <c r="I1433" s="12"/>
      <c r="J1433" s="13"/>
    </row>
    <row r="1434" ht="15.75" customHeight="1">
      <c r="D1434" s="18"/>
      <c r="I1434" s="12"/>
      <c r="J1434" s="13"/>
    </row>
    <row r="1435" ht="15.75" customHeight="1">
      <c r="D1435" s="18"/>
      <c r="H1435" s="19"/>
      <c r="I1435" s="12"/>
      <c r="J1435" s="13"/>
    </row>
    <row r="1436" ht="15.75" customHeight="1">
      <c r="A1436" s="20"/>
      <c r="D1436" s="18"/>
      <c r="J1436" s="16"/>
    </row>
    <row r="1437" ht="15.75" customHeight="1">
      <c r="A1437" s="20"/>
      <c r="D1437" s="18"/>
      <c r="H1437" s="19"/>
      <c r="J1437" s="16"/>
    </row>
    <row r="1438" ht="15.75" customHeight="1">
      <c r="D1438" s="18"/>
      <c r="H1438" s="19"/>
      <c r="I1438" s="12"/>
      <c r="J1438" s="16"/>
    </row>
    <row r="1439" ht="15.75" customHeight="1">
      <c r="D1439" s="18"/>
      <c r="H1439" s="19"/>
      <c r="J1439" s="16"/>
    </row>
    <row r="1440" ht="15.75" customHeight="1">
      <c r="D1440" s="18"/>
      <c r="H1440" s="19"/>
      <c r="J1440" s="13"/>
    </row>
    <row r="1441" ht="15.75" customHeight="1">
      <c r="D1441" s="18"/>
      <c r="I1441" s="12"/>
      <c r="J1441" s="13"/>
    </row>
    <row r="1442" ht="15.75" customHeight="1">
      <c r="D1442" s="18"/>
      <c r="I1442" s="12"/>
      <c r="J1442" s="13"/>
    </row>
    <row r="1443" ht="15.75" customHeight="1">
      <c r="D1443" s="18"/>
      <c r="H1443" s="19"/>
      <c r="J1443" s="16"/>
    </row>
    <row r="1444" ht="15.75" customHeight="1">
      <c r="D1444" s="18"/>
      <c r="J1444" s="13"/>
    </row>
    <row r="1445" ht="15.75" customHeight="1">
      <c r="D1445" s="18"/>
      <c r="H1445" s="19"/>
      <c r="I1445" s="12"/>
      <c r="J1445" s="13"/>
    </row>
    <row r="1446" ht="15.75" customHeight="1">
      <c r="D1446" s="18"/>
      <c r="H1446" s="19"/>
      <c r="J1446" s="16"/>
    </row>
    <row r="1447" ht="15.75" customHeight="1">
      <c r="A1447" s="20"/>
      <c r="D1447" s="18"/>
      <c r="H1447" s="19"/>
      <c r="J1447" s="13"/>
    </row>
    <row r="1448" ht="15.75" customHeight="1">
      <c r="D1448" s="18"/>
      <c r="H1448" s="19"/>
      <c r="J1448" s="16"/>
    </row>
    <row r="1449" ht="15.75" customHeight="1">
      <c r="D1449" s="18"/>
      <c r="J1449" s="13"/>
    </row>
    <row r="1450" ht="15.75" customHeight="1">
      <c r="D1450" s="18"/>
      <c r="H1450" s="19"/>
      <c r="J1450" s="13"/>
    </row>
    <row r="1451" ht="15.75" customHeight="1">
      <c r="D1451" s="18"/>
      <c r="H1451" s="19"/>
      <c r="I1451" s="12"/>
      <c r="J1451" s="16"/>
    </row>
    <row r="1452" ht="15.75" customHeight="1">
      <c r="D1452" s="18"/>
      <c r="H1452" s="19"/>
      <c r="I1452" s="12"/>
      <c r="J1452" s="16"/>
    </row>
    <row r="1453" ht="15.75" customHeight="1">
      <c r="D1453" s="18"/>
      <c r="H1453" s="19"/>
      <c r="I1453" s="12"/>
      <c r="J1453" s="16"/>
    </row>
    <row r="1454" ht="15.75" customHeight="1">
      <c r="D1454" s="18"/>
      <c r="I1454" s="12"/>
      <c r="J1454" s="13"/>
    </row>
    <row r="1455" ht="15.75" customHeight="1">
      <c r="D1455" s="18"/>
      <c r="I1455" s="12"/>
      <c r="J1455" s="13"/>
    </row>
    <row r="1456" ht="15.75" customHeight="1">
      <c r="A1456" s="20"/>
      <c r="D1456" s="18"/>
      <c r="I1456" s="12"/>
      <c r="J1456" s="13"/>
    </row>
    <row r="1457" ht="15.75" customHeight="1">
      <c r="A1457" s="20"/>
      <c r="D1457" s="18"/>
      <c r="I1457" s="12"/>
      <c r="J1457" s="13"/>
    </row>
    <row r="1458" ht="15.75" customHeight="1">
      <c r="A1458" s="20"/>
      <c r="D1458" s="18"/>
      <c r="I1458" s="12"/>
      <c r="J1458" s="16"/>
    </row>
    <row r="1459" ht="15.75" customHeight="1">
      <c r="A1459" s="20"/>
      <c r="D1459" s="18"/>
      <c r="H1459" s="19"/>
      <c r="J1459" s="16"/>
    </row>
    <row r="1460" ht="15.75" customHeight="1">
      <c r="D1460" s="18"/>
      <c r="H1460" s="19"/>
      <c r="J1460" s="16"/>
    </row>
    <row r="1461" ht="15.75" customHeight="1">
      <c r="D1461" s="18"/>
      <c r="H1461" s="19"/>
      <c r="J1461" s="16"/>
    </row>
    <row r="1462" ht="15.75" customHeight="1">
      <c r="D1462" s="18"/>
      <c r="H1462" s="19"/>
      <c r="J1462" s="13"/>
    </row>
    <row r="1463" ht="15.75" customHeight="1">
      <c r="D1463" s="18"/>
      <c r="H1463" s="19"/>
      <c r="J1463" s="16"/>
    </row>
    <row r="1464" ht="15.75" customHeight="1">
      <c r="D1464" s="18"/>
      <c r="H1464" s="19"/>
      <c r="J1464" s="13"/>
    </row>
    <row r="1465" ht="15.75" customHeight="1">
      <c r="D1465" s="18"/>
      <c r="J1465" s="13"/>
    </row>
    <row r="1466" ht="15.75" customHeight="1">
      <c r="D1466" s="18"/>
      <c r="H1466" s="19"/>
      <c r="J1466" s="16"/>
    </row>
    <row r="1467" ht="15.75" customHeight="1">
      <c r="D1467" s="18"/>
      <c r="I1467" s="12"/>
      <c r="J1467" s="13"/>
    </row>
    <row r="1468" ht="15.75" customHeight="1">
      <c r="D1468" s="18"/>
      <c r="J1468" s="13"/>
    </row>
    <row r="1469" ht="15.75" customHeight="1">
      <c r="D1469" s="18"/>
      <c r="J1469" s="13"/>
    </row>
    <row r="1470" ht="15.75" customHeight="1">
      <c r="D1470" s="18"/>
      <c r="I1470" s="12"/>
      <c r="J1470" s="13"/>
    </row>
    <row r="1471" ht="15.75" customHeight="1">
      <c r="A1471" s="20"/>
      <c r="D1471" s="18"/>
      <c r="H1471" s="19"/>
      <c r="I1471" s="12"/>
      <c r="J1471" s="16"/>
    </row>
    <row r="1472" ht="15.75" customHeight="1">
      <c r="D1472" s="18"/>
      <c r="H1472" s="19"/>
      <c r="I1472" s="12"/>
      <c r="J1472" s="13"/>
    </row>
    <row r="1473" ht="15.75" customHeight="1">
      <c r="A1473" s="20"/>
      <c r="D1473" s="18"/>
      <c r="I1473" s="12"/>
      <c r="J1473" s="13"/>
    </row>
    <row r="1474" ht="15.75" customHeight="1">
      <c r="D1474" s="18"/>
      <c r="H1474" s="19"/>
      <c r="I1474" s="12"/>
      <c r="J1474" s="16"/>
    </row>
    <row r="1475" ht="15.75" customHeight="1">
      <c r="D1475" s="18"/>
      <c r="H1475" s="19"/>
      <c r="I1475" s="12"/>
      <c r="J1475" s="16"/>
    </row>
    <row r="1476" ht="15.75" customHeight="1">
      <c r="D1476" s="18"/>
      <c r="J1476" s="13"/>
    </row>
    <row r="1477" ht="15.75" customHeight="1">
      <c r="D1477" s="18"/>
      <c r="H1477" s="19"/>
      <c r="J1477" s="16"/>
    </row>
    <row r="1478" ht="15.75" customHeight="1">
      <c r="D1478" s="18"/>
      <c r="H1478" s="19"/>
      <c r="I1478" s="12"/>
      <c r="J1478" s="16"/>
    </row>
    <row r="1479" ht="15.75" customHeight="1">
      <c r="D1479" s="18"/>
      <c r="H1479" s="19"/>
      <c r="J1479" s="13"/>
    </row>
    <row r="1480" ht="15.75" customHeight="1">
      <c r="A1480" s="20"/>
      <c r="D1480" s="18"/>
      <c r="J1480" s="13"/>
    </row>
    <row r="1481" ht="15.75" customHeight="1">
      <c r="A1481" s="20"/>
      <c r="D1481" s="18"/>
      <c r="H1481" s="19"/>
      <c r="I1481" s="12"/>
      <c r="J1481" s="16"/>
    </row>
    <row r="1482" ht="15.75" customHeight="1">
      <c r="A1482" s="20"/>
      <c r="D1482" s="18"/>
      <c r="I1482" s="12"/>
      <c r="J1482" s="13"/>
    </row>
    <row r="1483" ht="15.75" customHeight="1">
      <c r="A1483" s="20"/>
      <c r="D1483" s="18"/>
      <c r="I1483" s="12"/>
      <c r="J1483" s="16"/>
    </row>
    <row r="1484" ht="15.75" customHeight="1">
      <c r="D1484" s="18"/>
      <c r="H1484" s="19"/>
      <c r="J1484" s="13"/>
    </row>
    <row r="1485" ht="15.75" customHeight="1">
      <c r="D1485" s="18"/>
      <c r="H1485" s="19"/>
      <c r="J1485" s="16"/>
    </row>
    <row r="1486" ht="15.75" customHeight="1">
      <c r="D1486" s="18"/>
      <c r="H1486" s="19"/>
      <c r="I1486" s="12"/>
      <c r="J1486" s="16"/>
    </row>
    <row r="1487" ht="15.75" customHeight="1">
      <c r="A1487" s="20"/>
      <c r="D1487" s="18"/>
      <c r="I1487" s="12"/>
      <c r="J1487" s="16"/>
    </row>
    <row r="1488" ht="15.75" customHeight="1">
      <c r="D1488" s="18"/>
      <c r="I1488" s="12"/>
      <c r="J1488" s="13"/>
    </row>
    <row r="1489" ht="15.75" customHeight="1">
      <c r="D1489" s="18"/>
      <c r="H1489" s="19"/>
      <c r="J1489" s="16"/>
    </row>
    <row r="1490" ht="15.75" customHeight="1">
      <c r="D1490" s="18"/>
      <c r="H1490" s="19"/>
      <c r="J1490" s="16"/>
    </row>
    <row r="1491" ht="15.75" customHeight="1">
      <c r="D1491" s="18"/>
      <c r="J1491" s="16"/>
    </row>
    <row r="1492" ht="15.75" customHeight="1">
      <c r="D1492" s="18"/>
      <c r="J1492" s="13"/>
    </row>
    <row r="1493" ht="15.75" customHeight="1">
      <c r="D1493" s="18"/>
      <c r="H1493" s="19"/>
      <c r="J1493" s="13"/>
    </row>
    <row r="1494" ht="15.75" customHeight="1">
      <c r="D1494" s="18"/>
      <c r="H1494" s="19"/>
      <c r="I1494" s="12"/>
      <c r="J1494" s="16"/>
    </row>
    <row r="1495" ht="15.75" customHeight="1">
      <c r="D1495" s="18"/>
      <c r="I1495" s="12"/>
      <c r="J1495" s="13"/>
    </row>
    <row r="1496" ht="15.75" customHeight="1">
      <c r="D1496" s="18"/>
      <c r="H1496" s="19"/>
      <c r="I1496" s="12"/>
      <c r="J1496" s="13"/>
    </row>
    <row r="1497" ht="15.75" customHeight="1">
      <c r="D1497" s="18"/>
      <c r="H1497" s="19"/>
      <c r="I1497" s="12"/>
      <c r="J1497" s="16"/>
    </row>
    <row r="1498" ht="15.75" customHeight="1">
      <c r="D1498" s="18"/>
      <c r="H1498" s="19"/>
      <c r="I1498" s="12"/>
      <c r="J1498" s="16"/>
    </row>
    <row r="1499" ht="15.75" customHeight="1">
      <c r="D1499" s="18"/>
      <c r="H1499" s="19"/>
      <c r="I1499" s="12"/>
      <c r="J1499" s="13"/>
    </row>
    <row r="1500" ht="15.75" customHeight="1">
      <c r="D1500" s="18"/>
      <c r="I1500" s="12"/>
      <c r="J1500" s="13"/>
    </row>
    <row r="1501" ht="15.75" customHeight="1">
      <c r="D1501" s="18"/>
      <c r="H1501" s="19"/>
      <c r="I1501" s="12"/>
      <c r="J1501" s="16"/>
    </row>
    <row r="1502" ht="15.75" customHeight="1">
      <c r="D1502" s="18"/>
      <c r="H1502" s="19"/>
      <c r="I1502" s="12"/>
      <c r="J1502" s="16"/>
    </row>
    <row r="1503" ht="15.75" customHeight="1">
      <c r="D1503" s="18"/>
      <c r="H1503" s="19"/>
      <c r="I1503" s="12"/>
      <c r="J1503" s="16"/>
    </row>
    <row r="1504" ht="15.75" customHeight="1">
      <c r="D1504" s="18"/>
      <c r="H1504" s="19"/>
      <c r="J1504" s="13"/>
    </row>
    <row r="1505" ht="15.75" customHeight="1">
      <c r="D1505" s="18"/>
      <c r="H1505" s="19"/>
      <c r="J1505" s="16"/>
    </row>
    <row r="1506" ht="15.75" customHeight="1">
      <c r="D1506" s="18"/>
      <c r="H1506" s="19"/>
      <c r="J1506" s="13"/>
    </row>
    <row r="1507" ht="15.75" customHeight="1">
      <c r="D1507" s="18"/>
      <c r="H1507" s="19"/>
      <c r="J1507" s="16"/>
    </row>
    <row r="1508" ht="15.75" customHeight="1">
      <c r="D1508" s="18"/>
      <c r="J1508" s="13"/>
    </row>
    <row r="1509" ht="15.75" customHeight="1">
      <c r="A1509" s="20"/>
      <c r="D1509" s="18"/>
      <c r="J1509" s="16"/>
    </row>
    <row r="1510" ht="15.75" customHeight="1">
      <c r="A1510" s="20"/>
      <c r="D1510" s="18"/>
      <c r="H1510" s="19"/>
      <c r="I1510" s="12"/>
      <c r="J1510" s="13"/>
    </row>
    <row r="1511" ht="15.75" customHeight="1">
      <c r="D1511" s="18"/>
      <c r="I1511" s="12"/>
      <c r="J1511" s="13"/>
    </row>
    <row r="1512" ht="15.75" customHeight="1">
      <c r="D1512" s="18"/>
      <c r="J1512" s="16"/>
    </row>
    <row r="1513" ht="15.75" customHeight="1">
      <c r="D1513" s="18"/>
      <c r="H1513" s="19"/>
      <c r="J1513" s="13"/>
    </row>
    <row r="1514" ht="15.75" customHeight="1">
      <c r="D1514" s="18"/>
      <c r="H1514" s="19"/>
      <c r="I1514" s="12"/>
      <c r="J1514" s="16"/>
    </row>
    <row r="1515" ht="15.75" customHeight="1">
      <c r="D1515" s="18"/>
      <c r="H1515" s="19"/>
      <c r="J1515" s="13"/>
    </row>
    <row r="1516" ht="15.75" customHeight="1">
      <c r="D1516" s="18"/>
      <c r="J1516" s="16"/>
    </row>
    <row r="1517" ht="15.75" customHeight="1">
      <c r="D1517" s="18"/>
      <c r="H1517" s="19"/>
      <c r="J1517" s="16"/>
    </row>
    <row r="1518" ht="15.75" customHeight="1">
      <c r="D1518" s="18"/>
      <c r="H1518" s="19"/>
      <c r="J1518" s="13"/>
    </row>
    <row r="1519" ht="15.75" customHeight="1">
      <c r="D1519" s="18"/>
      <c r="J1519" s="16"/>
    </row>
    <row r="1520" ht="15.75" customHeight="1">
      <c r="D1520" s="18"/>
      <c r="H1520" s="19"/>
      <c r="J1520" s="16"/>
    </row>
    <row r="1521" ht="15.75" customHeight="1">
      <c r="D1521" s="18"/>
      <c r="H1521" s="19"/>
      <c r="J1521" s="13"/>
    </row>
    <row r="1522" ht="15.75" customHeight="1">
      <c r="D1522" s="18"/>
      <c r="H1522" s="19"/>
      <c r="J1522" s="13"/>
    </row>
    <row r="1523" ht="15.75" customHeight="1">
      <c r="D1523" s="18"/>
      <c r="H1523" s="19"/>
      <c r="J1523" s="13"/>
    </row>
    <row r="1524" ht="15.75" customHeight="1">
      <c r="D1524" s="18"/>
      <c r="H1524" s="19"/>
      <c r="J1524" s="13"/>
    </row>
    <row r="1525" ht="15.75" customHeight="1">
      <c r="A1525" s="20"/>
      <c r="D1525" s="18"/>
      <c r="J1525" s="13"/>
    </row>
    <row r="1526" ht="15.75" customHeight="1">
      <c r="D1526" s="18"/>
      <c r="H1526" s="19"/>
      <c r="J1526" s="16"/>
    </row>
    <row r="1527" ht="15.75" customHeight="1">
      <c r="D1527" s="18"/>
      <c r="J1527" s="13"/>
    </row>
    <row r="1528" ht="15.75" customHeight="1">
      <c r="D1528" s="18"/>
      <c r="H1528" s="19"/>
      <c r="I1528" s="12"/>
      <c r="J1528" s="13"/>
    </row>
    <row r="1529" ht="15.75" customHeight="1">
      <c r="A1529" s="20"/>
      <c r="D1529" s="18"/>
      <c r="H1529" s="19"/>
      <c r="I1529" s="12"/>
      <c r="J1529" s="13"/>
    </row>
    <row r="1530" ht="15.75" customHeight="1">
      <c r="D1530" s="18"/>
      <c r="H1530" s="19"/>
      <c r="I1530" s="12"/>
      <c r="J1530" s="16"/>
    </row>
    <row r="1531" ht="15.75" customHeight="1">
      <c r="D1531" s="18"/>
      <c r="H1531" s="19"/>
      <c r="I1531" s="12"/>
      <c r="J1531" s="13"/>
    </row>
    <row r="1532" ht="15.75" customHeight="1">
      <c r="D1532" s="18"/>
      <c r="H1532" s="19"/>
      <c r="I1532" s="12"/>
      <c r="J1532" s="16"/>
    </row>
    <row r="1533" ht="15.75" customHeight="1">
      <c r="D1533" s="18"/>
      <c r="H1533" s="19"/>
      <c r="I1533" s="12"/>
      <c r="J1533" s="16"/>
    </row>
    <row r="1534" ht="15.75" customHeight="1">
      <c r="D1534" s="18"/>
      <c r="H1534" s="19"/>
      <c r="I1534" s="12"/>
      <c r="J1534" s="16"/>
    </row>
    <row r="1535" ht="15.75" customHeight="1">
      <c r="D1535" s="18"/>
      <c r="H1535" s="19"/>
      <c r="I1535" s="12"/>
      <c r="J1535" s="16"/>
    </row>
    <row r="1536" ht="15.75" customHeight="1">
      <c r="D1536" s="18"/>
      <c r="H1536" s="19"/>
      <c r="I1536" s="12"/>
      <c r="J1536" s="16"/>
    </row>
    <row r="1537" ht="15.75" customHeight="1">
      <c r="D1537" s="18"/>
      <c r="H1537" s="19"/>
      <c r="I1537" s="12"/>
      <c r="J1537" s="16"/>
    </row>
    <row r="1538" ht="15.75" customHeight="1">
      <c r="D1538" s="18"/>
      <c r="H1538" s="19"/>
      <c r="I1538" s="12"/>
      <c r="J1538" s="16"/>
    </row>
    <row r="1539" ht="15.75" customHeight="1">
      <c r="D1539" s="18"/>
      <c r="H1539" s="19"/>
      <c r="I1539" s="12"/>
      <c r="J1539" s="16"/>
    </row>
    <row r="1540" ht="15.75" customHeight="1">
      <c r="A1540" s="20"/>
      <c r="D1540" s="18"/>
      <c r="H1540" s="19"/>
      <c r="I1540" s="12"/>
      <c r="J1540" s="13"/>
    </row>
    <row r="1541" ht="15.75" customHeight="1">
      <c r="D1541" s="18"/>
      <c r="H1541" s="19"/>
      <c r="I1541" s="12"/>
      <c r="J1541" s="13"/>
    </row>
    <row r="1542" ht="15.75" customHeight="1">
      <c r="D1542" s="18"/>
      <c r="I1542" s="12"/>
      <c r="J1542" s="16"/>
    </row>
    <row r="1543" ht="15.75" customHeight="1">
      <c r="D1543" s="18"/>
      <c r="H1543" s="19"/>
      <c r="J1543" s="16"/>
    </row>
    <row r="1544" ht="15.75" customHeight="1">
      <c r="D1544" s="18"/>
      <c r="H1544" s="19"/>
      <c r="J1544" s="13"/>
    </row>
    <row r="1545" ht="15.75" customHeight="1">
      <c r="D1545" s="18"/>
      <c r="H1545" s="19"/>
      <c r="J1545" s="13"/>
    </row>
    <row r="1546" ht="15.75" customHeight="1">
      <c r="D1546" s="18"/>
      <c r="H1546" s="19"/>
      <c r="J1546" s="13"/>
    </row>
    <row r="1547" ht="15.75" customHeight="1">
      <c r="D1547" s="18"/>
      <c r="J1547" s="13"/>
    </row>
    <row r="1548" ht="15.75" customHeight="1">
      <c r="D1548" s="18"/>
      <c r="H1548" s="19"/>
      <c r="J1548" s="16"/>
    </row>
    <row r="1549" ht="15.75" customHeight="1">
      <c r="D1549" s="18"/>
      <c r="H1549" s="19"/>
      <c r="I1549" s="12"/>
      <c r="J1549" s="13"/>
    </row>
    <row r="1550" ht="15.75" customHeight="1">
      <c r="D1550" s="18"/>
      <c r="H1550" s="19"/>
      <c r="I1550" s="12"/>
      <c r="J1550" s="16"/>
    </row>
    <row r="1551" ht="15.75" customHeight="1">
      <c r="D1551" s="18"/>
      <c r="H1551" s="19"/>
      <c r="I1551" s="12"/>
      <c r="J1551" s="16"/>
    </row>
    <row r="1552" ht="15.75" customHeight="1">
      <c r="D1552" s="18"/>
      <c r="H1552" s="19"/>
      <c r="I1552" s="12"/>
      <c r="J1552" s="13"/>
    </row>
    <row r="1553" ht="15.75" customHeight="1">
      <c r="D1553" s="18"/>
      <c r="H1553" s="19"/>
      <c r="I1553" s="12"/>
      <c r="J1553" s="13"/>
    </row>
    <row r="1554" ht="15.75" customHeight="1">
      <c r="D1554" s="18"/>
      <c r="H1554" s="19"/>
      <c r="I1554" s="12"/>
      <c r="J1554" s="13"/>
    </row>
    <row r="1555" ht="15.75" customHeight="1">
      <c r="D1555" s="18"/>
      <c r="H1555" s="19"/>
      <c r="J1555" s="16"/>
    </row>
    <row r="1556" ht="15.75" customHeight="1">
      <c r="D1556" s="18"/>
      <c r="H1556" s="19"/>
      <c r="J1556" s="16"/>
    </row>
    <row r="1557" ht="15.75" customHeight="1">
      <c r="D1557" s="18"/>
      <c r="J1557" s="13"/>
    </row>
    <row r="1558" ht="15.75" customHeight="1">
      <c r="D1558" s="18"/>
      <c r="J1558" s="13"/>
    </row>
    <row r="1559" ht="15.75" customHeight="1">
      <c r="D1559" s="18"/>
      <c r="J1559" s="13"/>
    </row>
    <row r="1560" ht="15.75" customHeight="1">
      <c r="D1560" s="18"/>
      <c r="H1560" s="19"/>
      <c r="I1560" s="12"/>
      <c r="J1560" s="13"/>
    </row>
    <row r="1561" ht="15.75" customHeight="1">
      <c r="D1561" s="18"/>
      <c r="H1561" s="19"/>
      <c r="I1561" s="12"/>
      <c r="J1561" s="16"/>
    </row>
    <row r="1562" ht="15.75" customHeight="1">
      <c r="D1562" s="18"/>
      <c r="H1562" s="19"/>
      <c r="J1562" s="13"/>
    </row>
    <row r="1563" ht="15.75" customHeight="1">
      <c r="D1563" s="18"/>
      <c r="H1563" s="19"/>
      <c r="J1563" s="16"/>
    </row>
    <row r="1564" ht="15.75" customHeight="1">
      <c r="D1564" s="18"/>
      <c r="H1564" s="19"/>
      <c r="I1564" s="12"/>
      <c r="J1564" s="16"/>
    </row>
    <row r="1565" ht="15.75" customHeight="1">
      <c r="D1565" s="18"/>
      <c r="J1565" s="13"/>
    </row>
    <row r="1566" ht="15.75" customHeight="1">
      <c r="D1566" s="18"/>
      <c r="H1566" s="19"/>
      <c r="J1566" s="16"/>
    </row>
    <row r="1567" ht="15.75" customHeight="1">
      <c r="A1567" s="20"/>
      <c r="D1567" s="18"/>
      <c r="I1567" s="12"/>
      <c r="J1567" s="16"/>
    </row>
    <row r="1568" ht="15.75" customHeight="1">
      <c r="A1568" s="20"/>
      <c r="D1568" s="18"/>
      <c r="H1568" s="19"/>
      <c r="I1568" s="12"/>
      <c r="J1568" s="13"/>
    </row>
    <row r="1569" ht="15.75" customHeight="1">
      <c r="D1569" s="18"/>
      <c r="H1569" s="19"/>
      <c r="I1569" s="12"/>
      <c r="J1569" s="16"/>
    </row>
    <row r="1570" ht="15.75" customHeight="1">
      <c r="D1570" s="18"/>
      <c r="H1570" s="19"/>
      <c r="J1570" s="13"/>
    </row>
    <row r="1571" ht="15.75" customHeight="1">
      <c r="D1571" s="18"/>
      <c r="H1571" s="19"/>
      <c r="J1571" s="13"/>
    </row>
    <row r="1572" ht="15.75" customHeight="1">
      <c r="D1572" s="18"/>
      <c r="H1572" s="19"/>
      <c r="J1572" s="16"/>
    </row>
    <row r="1573" ht="15.75" customHeight="1">
      <c r="D1573" s="18"/>
      <c r="H1573" s="19"/>
      <c r="J1573" s="13"/>
    </row>
    <row r="1574" ht="15.75" customHeight="1">
      <c r="D1574" s="18"/>
      <c r="H1574" s="19"/>
      <c r="J1574" s="13"/>
    </row>
    <row r="1575" ht="15.75" customHeight="1">
      <c r="D1575" s="18"/>
      <c r="H1575" s="19"/>
      <c r="J1575" s="16"/>
    </row>
    <row r="1576" ht="15.75" customHeight="1">
      <c r="D1576" s="18"/>
      <c r="H1576" s="19"/>
      <c r="J1576" s="16"/>
    </row>
    <row r="1577" ht="15.75" customHeight="1">
      <c r="D1577" s="18"/>
      <c r="J1577" s="13"/>
    </row>
    <row r="1578" ht="15.75" customHeight="1">
      <c r="D1578" s="18"/>
      <c r="H1578" s="19"/>
      <c r="J1578" s="13"/>
    </row>
    <row r="1579" ht="15.75" customHeight="1">
      <c r="D1579" s="18"/>
      <c r="H1579" s="19"/>
      <c r="J1579" s="13"/>
    </row>
    <row r="1580" ht="15.75" customHeight="1">
      <c r="D1580" s="18"/>
      <c r="J1580" s="13"/>
    </row>
    <row r="1581" ht="15.75" customHeight="1">
      <c r="D1581" s="18"/>
      <c r="H1581" s="19"/>
      <c r="J1581" s="16"/>
    </row>
    <row r="1582" ht="15.75" customHeight="1">
      <c r="D1582" s="18"/>
      <c r="H1582" s="19"/>
      <c r="J1582" s="16"/>
    </row>
    <row r="1583" ht="15.75" customHeight="1">
      <c r="D1583" s="18"/>
      <c r="J1583" s="13"/>
    </row>
    <row r="1584" ht="15.75" customHeight="1">
      <c r="D1584" s="18"/>
      <c r="H1584" s="19"/>
      <c r="J1584" s="16"/>
    </row>
    <row r="1585" ht="15.75" customHeight="1">
      <c r="D1585" s="18"/>
      <c r="J1585" s="13"/>
    </row>
    <row r="1586" ht="15.75" customHeight="1">
      <c r="D1586" s="18"/>
      <c r="H1586" s="19"/>
      <c r="I1586" s="12"/>
      <c r="J1586" s="13"/>
    </row>
    <row r="1587" ht="15.75" customHeight="1">
      <c r="A1587" s="20"/>
      <c r="D1587" s="18"/>
      <c r="H1587" s="19"/>
      <c r="I1587" s="12"/>
      <c r="J1587" s="16"/>
    </row>
    <row r="1588" ht="15.75" customHeight="1">
      <c r="A1588" s="20"/>
      <c r="D1588" s="18"/>
      <c r="H1588" s="19"/>
      <c r="I1588" s="12"/>
      <c r="J1588" s="13"/>
    </row>
    <row r="1589" ht="15.75" customHeight="1">
      <c r="D1589" s="18"/>
      <c r="J1589" s="13"/>
    </row>
    <row r="1590" ht="15.75" customHeight="1">
      <c r="D1590" s="18"/>
      <c r="H1590" s="19"/>
      <c r="J1590" s="16"/>
    </row>
    <row r="1591" ht="15.75" customHeight="1">
      <c r="D1591" s="18"/>
      <c r="H1591" s="19"/>
      <c r="I1591" s="12"/>
      <c r="J1591" s="16"/>
    </row>
    <row r="1592" ht="15.75" customHeight="1">
      <c r="D1592" s="18"/>
      <c r="H1592" s="19"/>
      <c r="I1592" s="12"/>
      <c r="J1592" s="16"/>
    </row>
    <row r="1593" ht="15.75" customHeight="1">
      <c r="A1593" s="20"/>
      <c r="D1593" s="18"/>
      <c r="H1593" s="19"/>
      <c r="I1593" s="12"/>
      <c r="J1593" s="16"/>
    </row>
    <row r="1594" ht="15.75" customHeight="1">
      <c r="D1594" s="18"/>
      <c r="H1594" s="19"/>
      <c r="I1594" s="12"/>
      <c r="J1594" s="16"/>
    </row>
    <row r="1595" ht="15.75" customHeight="1">
      <c r="D1595" s="18"/>
      <c r="H1595" s="19"/>
      <c r="J1595" s="13"/>
    </row>
    <row r="1596" ht="15.75" customHeight="1">
      <c r="D1596" s="18"/>
      <c r="J1596" s="13"/>
    </row>
    <row r="1597" ht="15.75" customHeight="1">
      <c r="D1597" s="18"/>
      <c r="J1597" s="16"/>
    </row>
    <row r="1598" ht="15.75" customHeight="1">
      <c r="D1598" s="18"/>
      <c r="J1598" s="13"/>
    </row>
    <row r="1599" ht="15.75" customHeight="1">
      <c r="D1599" s="18"/>
      <c r="J1599" s="16"/>
    </row>
    <row r="1600" ht="15.75" customHeight="1">
      <c r="D1600" s="18"/>
      <c r="H1600" s="19"/>
      <c r="I1600" s="12"/>
      <c r="J1600" s="13"/>
    </row>
    <row r="1601" ht="15.75" customHeight="1">
      <c r="D1601" s="18"/>
      <c r="H1601" s="19"/>
      <c r="J1601" s="16"/>
    </row>
    <row r="1602" ht="15.75" customHeight="1">
      <c r="D1602" s="18"/>
      <c r="H1602" s="19"/>
      <c r="J1602" s="13"/>
    </row>
    <row r="1603" ht="15.75" customHeight="1">
      <c r="D1603" s="18"/>
      <c r="J1603" s="13"/>
    </row>
    <row r="1604" ht="15.75" customHeight="1">
      <c r="D1604" s="18"/>
      <c r="H1604" s="19"/>
      <c r="J1604" s="16"/>
    </row>
    <row r="1605" ht="15.75" customHeight="1">
      <c r="D1605" s="18"/>
      <c r="H1605" s="19"/>
      <c r="J1605" s="16"/>
    </row>
    <row r="1606" ht="15.75" customHeight="1">
      <c r="D1606" s="18"/>
      <c r="H1606" s="19"/>
      <c r="J1606" s="16"/>
    </row>
    <row r="1607" ht="15.75" customHeight="1">
      <c r="A1607" s="20"/>
      <c r="D1607" s="18"/>
      <c r="J1607" s="16"/>
    </row>
    <row r="1608" ht="15.75" customHeight="1">
      <c r="D1608" s="18"/>
      <c r="I1608" s="12"/>
      <c r="J1608" s="16"/>
    </row>
    <row r="1609" ht="15.75" customHeight="1">
      <c r="D1609" s="18"/>
      <c r="H1609" s="19"/>
      <c r="J1609" s="16"/>
    </row>
    <row r="1610" ht="15.75" customHeight="1">
      <c r="D1610" s="18"/>
      <c r="J1610" s="13"/>
    </row>
    <row r="1611" ht="15.75" customHeight="1">
      <c r="D1611" s="18"/>
      <c r="H1611" s="19"/>
      <c r="J1611" s="16"/>
    </row>
    <row r="1612" ht="15.75" customHeight="1">
      <c r="D1612" s="18"/>
      <c r="H1612" s="19"/>
      <c r="J1612" s="16"/>
    </row>
    <row r="1613" ht="15.75" customHeight="1">
      <c r="A1613" s="20"/>
      <c r="D1613" s="18"/>
      <c r="H1613" s="19"/>
      <c r="I1613" s="12"/>
      <c r="J1613" s="16"/>
    </row>
    <row r="1614" ht="15.75" customHeight="1">
      <c r="A1614" s="20"/>
      <c r="D1614" s="18"/>
      <c r="H1614" s="19"/>
      <c r="I1614" s="12"/>
      <c r="J1614" s="16"/>
    </row>
    <row r="1615" ht="15.75" customHeight="1">
      <c r="D1615" s="18"/>
      <c r="J1615" s="13"/>
    </row>
    <row r="1616" ht="15.75" customHeight="1">
      <c r="D1616" s="18"/>
      <c r="H1616" s="19"/>
      <c r="J1616" s="13"/>
    </row>
    <row r="1617" ht="15.75" customHeight="1">
      <c r="D1617" s="18"/>
      <c r="J1617" s="13"/>
    </row>
    <row r="1618" ht="15.75" customHeight="1">
      <c r="D1618" s="18"/>
      <c r="H1618" s="19"/>
      <c r="J1618" s="16"/>
    </row>
    <row r="1619" ht="15.75" customHeight="1">
      <c r="D1619" s="18"/>
      <c r="H1619" s="19"/>
      <c r="J1619" s="16"/>
    </row>
    <row r="1620" ht="15.75" customHeight="1">
      <c r="D1620" s="18"/>
      <c r="H1620" s="19"/>
      <c r="J1620" s="13"/>
    </row>
    <row r="1621" ht="15.75" customHeight="1">
      <c r="D1621" s="18"/>
      <c r="J1621" s="13"/>
    </row>
    <row r="1622" ht="15.75" customHeight="1">
      <c r="D1622" s="18"/>
      <c r="J1622" s="13"/>
    </row>
    <row r="1623" ht="15.75" customHeight="1">
      <c r="D1623" s="18"/>
      <c r="H1623" s="19"/>
      <c r="I1623" s="12"/>
      <c r="J1623" s="13"/>
    </row>
    <row r="1624" ht="15.75" customHeight="1">
      <c r="D1624" s="18"/>
      <c r="H1624" s="19"/>
      <c r="J1624" s="13"/>
    </row>
    <row r="1625" ht="15.75" customHeight="1">
      <c r="D1625" s="18"/>
      <c r="J1625" s="13"/>
    </row>
    <row r="1626" ht="15.75" customHeight="1">
      <c r="D1626" s="18"/>
      <c r="J1626" s="13"/>
    </row>
    <row r="1627" ht="15.75" customHeight="1">
      <c r="D1627" s="18"/>
      <c r="J1627" s="13"/>
    </row>
    <row r="1628" ht="15.75" customHeight="1">
      <c r="D1628" s="18"/>
      <c r="H1628" s="19"/>
      <c r="J1628" s="13"/>
    </row>
    <row r="1629" ht="15.75" customHeight="1">
      <c r="D1629" s="18"/>
      <c r="H1629" s="19"/>
      <c r="J1629" s="16"/>
    </row>
    <row r="1630" ht="15.75" customHeight="1">
      <c r="D1630" s="18"/>
      <c r="J1630" s="13"/>
    </row>
    <row r="1631" ht="15.75" customHeight="1">
      <c r="A1631" s="20"/>
      <c r="D1631" s="18"/>
      <c r="H1631" s="19"/>
      <c r="J1631" s="13"/>
    </row>
    <row r="1632" ht="15.75" customHeight="1">
      <c r="D1632" s="18"/>
      <c r="J1632" s="13"/>
    </row>
    <row r="1633" ht="15.75" customHeight="1">
      <c r="D1633" s="18"/>
      <c r="J1633" s="13"/>
    </row>
    <row r="1634" ht="15.75" customHeight="1">
      <c r="D1634" s="18"/>
      <c r="H1634" s="19"/>
      <c r="J1634" s="13"/>
    </row>
    <row r="1635" ht="15.75" customHeight="1">
      <c r="D1635" s="18"/>
      <c r="H1635" s="19"/>
      <c r="J1635" s="16"/>
    </row>
    <row r="1636" ht="15.75" customHeight="1">
      <c r="D1636" s="18"/>
      <c r="H1636" s="19"/>
      <c r="J1636" s="16"/>
    </row>
    <row r="1637" ht="15.75" customHeight="1">
      <c r="D1637" s="18"/>
      <c r="J1637" s="13"/>
    </row>
    <row r="1638" ht="15.75" customHeight="1">
      <c r="D1638" s="18"/>
      <c r="H1638" s="19"/>
      <c r="J1638" s="16"/>
    </row>
    <row r="1639" ht="15.75" customHeight="1">
      <c r="D1639" s="18"/>
      <c r="H1639" s="19"/>
      <c r="J1639" s="16"/>
    </row>
    <row r="1640" ht="15.75" customHeight="1">
      <c r="D1640" s="18"/>
      <c r="H1640" s="19"/>
      <c r="I1640" s="12"/>
      <c r="J1640" s="16"/>
    </row>
    <row r="1641" ht="15.75" customHeight="1">
      <c r="A1641" s="20"/>
      <c r="D1641" s="18"/>
      <c r="J1641" s="16"/>
    </row>
    <row r="1642" ht="15.75" customHeight="1">
      <c r="A1642" s="20"/>
      <c r="D1642" s="18"/>
      <c r="H1642" s="19"/>
      <c r="J1642" s="13"/>
    </row>
    <row r="1643" ht="15.75" customHeight="1">
      <c r="D1643" s="18"/>
      <c r="J1643" s="13"/>
    </row>
    <row r="1644" ht="15.75" customHeight="1">
      <c r="D1644" s="18"/>
      <c r="I1644" s="12"/>
      <c r="J1644" s="13"/>
    </row>
    <row r="1645" ht="15.75" customHeight="1">
      <c r="A1645" s="20"/>
      <c r="D1645" s="18"/>
      <c r="I1645" s="12"/>
      <c r="J1645" s="13"/>
    </row>
    <row r="1646" ht="15.75" customHeight="1">
      <c r="D1646" s="18"/>
      <c r="H1646" s="19"/>
      <c r="I1646" s="12"/>
      <c r="J1646" s="16"/>
    </row>
    <row r="1647" ht="15.75" customHeight="1">
      <c r="A1647" s="20"/>
      <c r="D1647" s="18"/>
      <c r="H1647" s="19"/>
      <c r="I1647" s="12"/>
      <c r="J1647" s="16"/>
    </row>
    <row r="1648" ht="15.75" customHeight="1">
      <c r="D1648" s="18"/>
      <c r="H1648" s="19"/>
      <c r="J1648" s="16"/>
    </row>
    <row r="1649" ht="15.75" customHeight="1">
      <c r="D1649" s="18"/>
      <c r="J1649" s="13"/>
    </row>
    <row r="1650" ht="15.75" customHeight="1">
      <c r="D1650" s="18"/>
      <c r="H1650" s="19"/>
      <c r="J1650" s="16"/>
    </row>
    <row r="1651" ht="15.75" customHeight="1">
      <c r="A1651" s="20"/>
      <c r="D1651" s="18"/>
      <c r="H1651" s="19"/>
      <c r="J1651" s="13"/>
    </row>
    <row r="1652" ht="15.75" customHeight="1">
      <c r="D1652" s="18"/>
      <c r="H1652" s="19"/>
      <c r="J1652" s="16"/>
    </row>
    <row r="1653" ht="15.75" customHeight="1">
      <c r="D1653" s="18"/>
      <c r="J1653" s="13"/>
    </row>
    <row r="1654" ht="15.75" customHeight="1">
      <c r="D1654" s="18"/>
      <c r="H1654" s="19"/>
      <c r="J1654" s="16"/>
    </row>
    <row r="1655" ht="15.75" customHeight="1">
      <c r="D1655" s="18"/>
      <c r="H1655" s="19"/>
      <c r="J1655" s="13"/>
    </row>
    <row r="1656" ht="15.75" customHeight="1">
      <c r="D1656" s="18"/>
      <c r="H1656" s="19"/>
      <c r="J1656" s="16"/>
    </row>
    <row r="1657" ht="15.75" customHeight="1">
      <c r="D1657" s="18"/>
      <c r="H1657" s="19"/>
      <c r="J1657" s="16"/>
    </row>
    <row r="1658" ht="15.75" customHeight="1">
      <c r="D1658" s="18"/>
      <c r="H1658" s="19"/>
      <c r="J1658" s="16"/>
    </row>
    <row r="1659" ht="15.75" customHeight="1">
      <c r="D1659" s="18"/>
      <c r="H1659" s="19"/>
      <c r="J1659" s="16"/>
    </row>
    <row r="1660" ht="15.75" customHeight="1">
      <c r="A1660" s="20"/>
      <c r="D1660" s="18"/>
      <c r="H1660" s="19"/>
      <c r="J1660" s="16"/>
    </row>
    <row r="1661" ht="15.75" customHeight="1">
      <c r="A1661" s="20"/>
      <c r="D1661" s="18"/>
      <c r="H1661" s="19"/>
      <c r="J1661" s="16"/>
    </row>
    <row r="1662" ht="15.75" customHeight="1">
      <c r="D1662" s="18"/>
      <c r="I1662" s="12"/>
      <c r="J1662" s="13"/>
    </row>
    <row r="1663" ht="15.75" customHeight="1">
      <c r="D1663" s="18"/>
      <c r="H1663" s="19"/>
      <c r="I1663" s="12"/>
      <c r="J1663" s="13"/>
    </row>
    <row r="1664" ht="15.75" customHeight="1">
      <c r="A1664" s="20"/>
      <c r="D1664" s="18"/>
      <c r="H1664" s="19"/>
      <c r="J1664" s="16"/>
    </row>
    <row r="1665" ht="15.75" customHeight="1">
      <c r="D1665" s="18"/>
      <c r="H1665" s="19"/>
      <c r="J1665" s="13"/>
    </row>
    <row r="1666" ht="15.75" customHeight="1">
      <c r="D1666" s="18"/>
      <c r="H1666" s="19"/>
      <c r="J1666" s="16"/>
    </row>
    <row r="1667" ht="15.75" customHeight="1">
      <c r="D1667" s="18"/>
      <c r="J1667" s="16"/>
    </row>
    <row r="1668" ht="15.75" customHeight="1">
      <c r="D1668" s="18"/>
      <c r="H1668" s="19"/>
      <c r="I1668" s="12"/>
      <c r="J1668" s="16"/>
    </row>
    <row r="1669" ht="15.75" customHeight="1">
      <c r="D1669" s="18"/>
      <c r="I1669" s="12"/>
      <c r="J1669" s="13"/>
    </row>
    <row r="1670" ht="15.75" customHeight="1">
      <c r="D1670" s="18"/>
      <c r="H1670" s="19"/>
      <c r="J1670" s="13"/>
    </row>
    <row r="1671" ht="15.75" customHeight="1">
      <c r="D1671" s="18"/>
      <c r="J1671" s="13"/>
    </row>
    <row r="1672" ht="15.75" customHeight="1">
      <c r="D1672" s="18"/>
      <c r="H1672" s="19"/>
      <c r="J1672" s="16"/>
    </row>
    <row r="1673" ht="15.75" customHeight="1">
      <c r="D1673" s="18"/>
      <c r="H1673" s="19"/>
      <c r="J1673" s="13"/>
    </row>
    <row r="1674" ht="15.75" customHeight="1">
      <c r="D1674" s="18"/>
      <c r="H1674" s="19"/>
      <c r="I1674" s="12"/>
      <c r="J1674" s="13"/>
    </row>
    <row r="1675" ht="15.75" customHeight="1">
      <c r="D1675" s="18"/>
      <c r="H1675" s="19"/>
      <c r="I1675" s="12"/>
      <c r="J1675" s="13"/>
    </row>
    <row r="1676" ht="15.75" customHeight="1">
      <c r="D1676" s="18"/>
      <c r="H1676" s="19"/>
      <c r="I1676" s="12"/>
      <c r="J1676" s="13"/>
    </row>
    <row r="1677" ht="15.75" customHeight="1">
      <c r="D1677" s="18"/>
      <c r="H1677" s="19"/>
      <c r="I1677" s="12"/>
      <c r="J1677" s="13"/>
    </row>
    <row r="1678" ht="15.75" customHeight="1">
      <c r="D1678" s="18"/>
      <c r="H1678" s="19"/>
      <c r="I1678" s="12"/>
      <c r="J1678" s="13"/>
    </row>
    <row r="1679" ht="15.75" customHeight="1">
      <c r="D1679" s="18"/>
      <c r="H1679" s="19"/>
      <c r="J1679" s="16"/>
    </row>
    <row r="1680" ht="15.75" customHeight="1">
      <c r="D1680" s="18"/>
      <c r="H1680" s="19"/>
      <c r="J1680" s="13"/>
    </row>
    <row r="1681" ht="15.75" customHeight="1">
      <c r="D1681" s="18"/>
      <c r="I1681" s="12"/>
      <c r="J1681" s="13"/>
    </row>
    <row r="1682" ht="15.75" customHeight="1">
      <c r="D1682" s="18"/>
      <c r="H1682" s="19"/>
      <c r="J1682" s="16"/>
    </row>
    <row r="1683" ht="15.75" customHeight="1">
      <c r="D1683" s="18"/>
      <c r="J1683" s="13"/>
    </row>
    <row r="1684" ht="15.75" customHeight="1">
      <c r="D1684" s="18"/>
      <c r="I1684" s="12"/>
      <c r="J1684" s="13"/>
    </row>
    <row r="1685" ht="15.75" customHeight="1">
      <c r="D1685" s="18"/>
      <c r="H1685" s="19"/>
      <c r="J1685" s="16"/>
    </row>
    <row r="1686" ht="15.75" customHeight="1">
      <c r="D1686" s="18"/>
      <c r="H1686" s="19"/>
      <c r="J1686" s="13"/>
    </row>
    <row r="1687" ht="15.75" customHeight="1">
      <c r="D1687" s="18"/>
      <c r="H1687" s="19"/>
      <c r="J1687" s="16"/>
    </row>
    <row r="1688" ht="15.75" customHeight="1">
      <c r="D1688" s="18"/>
      <c r="J1688" s="16"/>
    </row>
    <row r="1689" ht="15.75" customHeight="1">
      <c r="D1689" s="18"/>
      <c r="H1689" s="19"/>
      <c r="I1689" s="12"/>
      <c r="J1689" s="16"/>
    </row>
    <row r="1690" ht="15.75" customHeight="1">
      <c r="D1690" s="18"/>
      <c r="H1690" s="19"/>
      <c r="J1690" s="16"/>
    </row>
    <row r="1691" ht="15.75" customHeight="1">
      <c r="A1691" s="20"/>
      <c r="D1691" s="18"/>
      <c r="H1691" s="19"/>
      <c r="J1691" s="16"/>
    </row>
    <row r="1692" ht="15.75" customHeight="1">
      <c r="D1692" s="18"/>
      <c r="H1692" s="19"/>
      <c r="J1692" s="13"/>
    </row>
    <row r="1693" ht="15.75" customHeight="1">
      <c r="D1693" s="18"/>
      <c r="H1693" s="19"/>
      <c r="J1693" s="16"/>
    </row>
    <row r="1694" ht="15.75" customHeight="1">
      <c r="D1694" s="18"/>
      <c r="I1694" s="12"/>
      <c r="J1694" s="16"/>
    </row>
    <row r="1695" ht="15.75" customHeight="1">
      <c r="D1695" s="18"/>
      <c r="H1695" s="19"/>
      <c r="I1695" s="12"/>
      <c r="J1695" s="16"/>
    </row>
    <row r="1696" ht="15.75" customHeight="1">
      <c r="D1696" s="18"/>
      <c r="H1696" s="19"/>
      <c r="I1696" s="12"/>
      <c r="J1696" s="16"/>
    </row>
    <row r="1697" ht="15.75" customHeight="1">
      <c r="D1697" s="18"/>
      <c r="I1697" s="12"/>
      <c r="J1697" s="13"/>
    </row>
    <row r="1698" ht="15.75" customHeight="1">
      <c r="D1698" s="18"/>
      <c r="H1698" s="19"/>
      <c r="J1698" s="13"/>
    </row>
    <row r="1699" ht="15.75" customHeight="1">
      <c r="A1699" s="20"/>
      <c r="D1699" s="18"/>
      <c r="H1699" s="19"/>
      <c r="J1699" s="16"/>
    </row>
    <row r="1700" ht="15.75" customHeight="1">
      <c r="D1700" s="18"/>
      <c r="H1700" s="19"/>
      <c r="J1700" s="13"/>
    </row>
    <row r="1701" ht="15.75" customHeight="1">
      <c r="D1701" s="18"/>
      <c r="J1701" s="13"/>
    </row>
    <row r="1702" ht="15.75" customHeight="1">
      <c r="D1702" s="18"/>
      <c r="H1702" s="19"/>
      <c r="J1702" s="16"/>
    </row>
    <row r="1703" ht="15.75" customHeight="1">
      <c r="D1703" s="18"/>
      <c r="H1703" s="19"/>
      <c r="J1703" s="13"/>
    </row>
    <row r="1704" ht="15.75" customHeight="1">
      <c r="D1704" s="18"/>
      <c r="H1704" s="19"/>
      <c r="I1704" s="12"/>
      <c r="J1704" s="13"/>
    </row>
    <row r="1705" ht="15.75" customHeight="1">
      <c r="A1705" s="20"/>
      <c r="D1705" s="18"/>
      <c r="H1705" s="19"/>
      <c r="I1705" s="12"/>
      <c r="J1705" s="16"/>
    </row>
    <row r="1706" ht="15.75" customHeight="1">
      <c r="D1706" s="18"/>
      <c r="J1706" s="13"/>
    </row>
    <row r="1707" ht="15.75" customHeight="1">
      <c r="D1707" s="18"/>
      <c r="H1707" s="19"/>
      <c r="J1707" s="16"/>
    </row>
    <row r="1708" ht="15.75" customHeight="1">
      <c r="D1708" s="18"/>
      <c r="H1708" s="19"/>
      <c r="J1708" s="13"/>
    </row>
    <row r="1709" ht="15.75" customHeight="1">
      <c r="D1709" s="18"/>
      <c r="H1709" s="19"/>
      <c r="J1709" s="16"/>
    </row>
    <row r="1710" ht="15.75" customHeight="1">
      <c r="D1710" s="18"/>
      <c r="H1710" s="19"/>
      <c r="J1710" s="16"/>
    </row>
    <row r="1711" ht="15.75" customHeight="1">
      <c r="D1711" s="18"/>
      <c r="H1711" s="19"/>
      <c r="J1711" s="13"/>
    </row>
    <row r="1712" ht="15.75" customHeight="1">
      <c r="D1712" s="18"/>
      <c r="H1712" s="19"/>
      <c r="I1712" s="12"/>
      <c r="J1712" s="13"/>
    </row>
    <row r="1713" ht="15.75" customHeight="1">
      <c r="D1713" s="18"/>
      <c r="I1713" s="12"/>
      <c r="J1713" s="13"/>
    </row>
    <row r="1714" ht="15.75" customHeight="1">
      <c r="D1714" s="18"/>
      <c r="H1714" s="19"/>
      <c r="I1714" s="12"/>
      <c r="J1714" s="13"/>
    </row>
    <row r="1715" ht="15.75" customHeight="1">
      <c r="D1715" s="18"/>
      <c r="H1715" s="19"/>
      <c r="I1715" s="12"/>
      <c r="J1715" s="13"/>
    </row>
    <row r="1716" ht="15.75" customHeight="1">
      <c r="D1716" s="18"/>
      <c r="H1716" s="19"/>
      <c r="I1716" s="12"/>
      <c r="J1716" s="13"/>
    </row>
    <row r="1717" ht="15.75" customHeight="1">
      <c r="D1717" s="18"/>
      <c r="H1717" s="19"/>
      <c r="I1717" s="12"/>
      <c r="J1717" s="16"/>
    </row>
    <row r="1718" ht="15.75" customHeight="1">
      <c r="D1718" s="18"/>
      <c r="H1718" s="19"/>
      <c r="I1718" s="12"/>
      <c r="J1718" s="16"/>
    </row>
    <row r="1719" ht="15.75" customHeight="1">
      <c r="D1719" s="18"/>
      <c r="H1719" s="19"/>
      <c r="I1719" s="12"/>
      <c r="J1719" s="16"/>
    </row>
    <row r="1720" ht="15.75" customHeight="1">
      <c r="A1720" s="20"/>
      <c r="D1720" s="18"/>
      <c r="I1720" s="12"/>
      <c r="J1720" s="13"/>
    </row>
    <row r="1721" ht="15.75" customHeight="1">
      <c r="D1721" s="18"/>
      <c r="H1721" s="19"/>
      <c r="I1721" s="12"/>
      <c r="J1721" s="16"/>
    </row>
    <row r="1722" ht="15.75" customHeight="1">
      <c r="D1722" s="18"/>
      <c r="J1722" s="13"/>
    </row>
    <row r="1723" ht="15.75" customHeight="1">
      <c r="D1723" s="18"/>
      <c r="H1723" s="19"/>
      <c r="J1723" s="13"/>
    </row>
    <row r="1724" ht="15.75" customHeight="1">
      <c r="D1724" s="18"/>
      <c r="I1724" s="12"/>
      <c r="J1724" s="13"/>
    </row>
    <row r="1725" ht="15.75" customHeight="1">
      <c r="A1725" s="20"/>
      <c r="D1725" s="18"/>
      <c r="I1725" s="12"/>
      <c r="J1725" s="13"/>
    </row>
    <row r="1726" ht="15.75" customHeight="1">
      <c r="D1726" s="18"/>
      <c r="I1726" s="12"/>
      <c r="J1726" s="13"/>
    </row>
    <row r="1727" ht="15.75" customHeight="1">
      <c r="D1727" s="18"/>
      <c r="H1727" s="19"/>
      <c r="I1727" s="12"/>
      <c r="J1727" s="16"/>
    </row>
    <row r="1728" ht="15.75" customHeight="1">
      <c r="D1728" s="18"/>
      <c r="H1728" s="19"/>
      <c r="J1728" s="13"/>
    </row>
    <row r="1729" ht="15.75" customHeight="1">
      <c r="D1729" s="18"/>
      <c r="H1729" s="19"/>
      <c r="J1729" s="13"/>
    </row>
    <row r="1730" ht="15.75" customHeight="1">
      <c r="D1730" s="18"/>
      <c r="H1730" s="19"/>
      <c r="J1730" s="13"/>
    </row>
    <row r="1731" ht="15.75" customHeight="1">
      <c r="D1731" s="18"/>
      <c r="H1731" s="19"/>
      <c r="J1731" s="13"/>
    </row>
    <row r="1732" ht="15.75" customHeight="1">
      <c r="D1732" s="18"/>
      <c r="H1732" s="19"/>
      <c r="J1732" s="13"/>
    </row>
    <row r="1733" ht="15.75" customHeight="1">
      <c r="D1733" s="18"/>
      <c r="H1733" s="19"/>
      <c r="J1733" s="16"/>
    </row>
    <row r="1734" ht="15.75" customHeight="1">
      <c r="D1734" s="18"/>
      <c r="J1734" s="16"/>
    </row>
    <row r="1735" ht="15.75" customHeight="1">
      <c r="D1735" s="18"/>
      <c r="H1735" s="19"/>
      <c r="J1735" s="13"/>
    </row>
    <row r="1736" ht="15.75" customHeight="1">
      <c r="D1736" s="18"/>
      <c r="J1736" s="13"/>
    </row>
    <row r="1737" ht="15.75" customHeight="1">
      <c r="D1737" s="18"/>
      <c r="J1737" s="16"/>
    </row>
    <row r="1738" ht="15.75" customHeight="1">
      <c r="D1738" s="18"/>
      <c r="H1738" s="19"/>
      <c r="J1738" s="13"/>
    </row>
    <row r="1739" ht="15.75" customHeight="1">
      <c r="D1739" s="18"/>
      <c r="H1739" s="19"/>
      <c r="J1739" s="13"/>
    </row>
    <row r="1740" ht="15.75" customHeight="1">
      <c r="A1740" s="20"/>
      <c r="D1740" s="18"/>
      <c r="H1740" s="19"/>
      <c r="J1740" s="16"/>
    </row>
    <row r="1741" ht="15.75" customHeight="1">
      <c r="D1741" s="18"/>
      <c r="J1741" s="13"/>
    </row>
    <row r="1742" ht="15.75" customHeight="1">
      <c r="D1742" s="18"/>
      <c r="H1742" s="19"/>
      <c r="I1742" s="12"/>
      <c r="J1742" s="13"/>
    </row>
    <row r="1743" ht="15.75" customHeight="1">
      <c r="A1743" s="20"/>
      <c r="D1743" s="18"/>
      <c r="H1743" s="19"/>
      <c r="J1743" s="13"/>
    </row>
    <row r="1744" ht="15.75" customHeight="1">
      <c r="D1744" s="18"/>
      <c r="H1744" s="19"/>
      <c r="J1744" s="13"/>
    </row>
    <row r="1745" ht="15.75" customHeight="1">
      <c r="D1745" s="18"/>
      <c r="I1745" s="12"/>
      <c r="J1745" s="13"/>
    </row>
    <row r="1746" ht="15.75" customHeight="1">
      <c r="D1746" s="18"/>
      <c r="I1746" s="12"/>
      <c r="J1746" s="13"/>
    </row>
    <row r="1747" ht="15.75" customHeight="1">
      <c r="D1747" s="18"/>
      <c r="I1747" s="12"/>
      <c r="J1747" s="16"/>
    </row>
    <row r="1748" ht="15.75" customHeight="1">
      <c r="A1748" s="20"/>
      <c r="D1748" s="18"/>
      <c r="I1748" s="12"/>
      <c r="J1748" s="13"/>
    </row>
    <row r="1749" ht="15.75" customHeight="1">
      <c r="D1749" s="18"/>
      <c r="J1749" s="13"/>
    </row>
    <row r="1750" ht="15.75" customHeight="1">
      <c r="D1750" s="18"/>
      <c r="H1750" s="19"/>
      <c r="J1750" s="16"/>
    </row>
    <row r="1751" ht="15.75" customHeight="1">
      <c r="D1751" s="18"/>
      <c r="I1751" s="12"/>
      <c r="J1751" s="13"/>
    </row>
    <row r="1752" ht="15.75" customHeight="1">
      <c r="D1752" s="18"/>
      <c r="H1752" s="19"/>
      <c r="J1752" s="13"/>
    </row>
    <row r="1753" ht="15.75" customHeight="1">
      <c r="D1753" s="18"/>
      <c r="H1753" s="19"/>
      <c r="J1753" s="16"/>
    </row>
    <row r="1754" ht="15.75" customHeight="1">
      <c r="A1754" s="20"/>
      <c r="D1754" s="18"/>
      <c r="H1754" s="19"/>
      <c r="I1754" s="12"/>
      <c r="J1754" s="16"/>
    </row>
    <row r="1755" ht="15.75" customHeight="1">
      <c r="D1755" s="18"/>
      <c r="H1755" s="19"/>
      <c r="I1755" s="12"/>
      <c r="J1755" s="16"/>
    </row>
    <row r="1756" ht="15.75" customHeight="1">
      <c r="D1756" s="18"/>
      <c r="H1756" s="19"/>
      <c r="I1756" s="12"/>
      <c r="J1756" s="16"/>
    </row>
    <row r="1757" ht="15.75" customHeight="1">
      <c r="D1757" s="18"/>
      <c r="H1757" s="19"/>
      <c r="I1757" s="12"/>
      <c r="J1757" s="16"/>
    </row>
    <row r="1758" ht="15.75" customHeight="1">
      <c r="A1758" s="20"/>
      <c r="D1758" s="18"/>
      <c r="H1758" s="19"/>
      <c r="I1758" s="12"/>
      <c r="J1758" s="16"/>
    </row>
    <row r="1759" ht="15.75" customHeight="1">
      <c r="D1759" s="18"/>
      <c r="H1759" s="19"/>
      <c r="I1759" s="12"/>
      <c r="J1759" s="16"/>
    </row>
    <row r="1760" ht="15.75" customHeight="1">
      <c r="D1760" s="18"/>
      <c r="H1760" s="19"/>
      <c r="I1760" s="12"/>
      <c r="J1760" s="16"/>
    </row>
    <row r="1761" ht="15.75" customHeight="1">
      <c r="D1761" s="18"/>
      <c r="H1761" s="19"/>
      <c r="I1761" s="12"/>
      <c r="J1761" s="16"/>
    </row>
    <row r="1762" ht="15.75" customHeight="1">
      <c r="D1762" s="18"/>
      <c r="H1762" s="19"/>
      <c r="I1762" s="12"/>
      <c r="J1762" s="13"/>
    </row>
    <row r="1763" ht="15.75" customHeight="1">
      <c r="D1763" s="18"/>
      <c r="H1763" s="19"/>
      <c r="I1763" s="12"/>
      <c r="J1763" s="13"/>
    </row>
    <row r="1764" ht="15.75" customHeight="1">
      <c r="D1764" s="18"/>
      <c r="H1764" s="19"/>
      <c r="I1764" s="12"/>
      <c r="J1764" s="16"/>
    </row>
    <row r="1765" ht="15.75" customHeight="1">
      <c r="D1765" s="18"/>
      <c r="H1765" s="19"/>
      <c r="I1765" s="12"/>
      <c r="J1765" s="16"/>
    </row>
    <row r="1766" ht="15.75" customHeight="1">
      <c r="D1766" s="18"/>
      <c r="H1766" s="19"/>
      <c r="I1766" s="12"/>
      <c r="J1766" s="13"/>
    </row>
    <row r="1767" ht="15.75" customHeight="1">
      <c r="A1767" s="20"/>
      <c r="D1767" s="18"/>
      <c r="I1767" s="12"/>
      <c r="J1767" s="13"/>
    </row>
    <row r="1768" ht="15.75" customHeight="1">
      <c r="D1768" s="18"/>
      <c r="H1768" s="19"/>
      <c r="I1768" s="12"/>
      <c r="J1768" s="16"/>
    </row>
    <row r="1769" ht="15.75" customHeight="1">
      <c r="D1769" s="18"/>
      <c r="I1769" s="12"/>
      <c r="J1769" s="16"/>
    </row>
    <row r="1770" ht="15.75" customHeight="1">
      <c r="D1770" s="18"/>
      <c r="I1770" s="12"/>
      <c r="J1770" s="13"/>
    </row>
    <row r="1771" ht="15.75" customHeight="1">
      <c r="D1771" s="18"/>
      <c r="H1771" s="19"/>
      <c r="I1771" s="12"/>
      <c r="J1771" s="16"/>
    </row>
    <row r="1772" ht="15.75" customHeight="1">
      <c r="D1772" s="18"/>
      <c r="H1772" s="19"/>
      <c r="J1772" s="13"/>
    </row>
    <row r="1773" ht="15.75" customHeight="1">
      <c r="D1773" s="18"/>
      <c r="H1773" s="19"/>
      <c r="J1773" s="16"/>
    </row>
    <row r="1774" ht="15.75" customHeight="1">
      <c r="D1774" s="18"/>
      <c r="H1774" s="19"/>
      <c r="I1774" s="12"/>
      <c r="J1774" s="16"/>
    </row>
    <row r="1775" ht="15.75" customHeight="1">
      <c r="A1775" s="20"/>
      <c r="D1775" s="18"/>
      <c r="H1775" s="19"/>
      <c r="I1775" s="12"/>
      <c r="J1775" s="16"/>
    </row>
    <row r="1776" ht="15.75" customHeight="1">
      <c r="D1776" s="18"/>
      <c r="H1776" s="19"/>
      <c r="J1776" s="16"/>
    </row>
    <row r="1777" ht="15.75" customHeight="1">
      <c r="D1777" s="18"/>
      <c r="J1777" s="13"/>
    </row>
    <row r="1778" ht="15.75" customHeight="1">
      <c r="D1778" s="18"/>
      <c r="I1778" s="12"/>
      <c r="J1778" s="13"/>
    </row>
    <row r="1779" ht="15.75" customHeight="1">
      <c r="D1779" s="18"/>
      <c r="I1779" s="12"/>
      <c r="J1779" s="13"/>
    </row>
    <row r="1780" ht="15.75" customHeight="1">
      <c r="D1780" s="18"/>
      <c r="H1780" s="19"/>
      <c r="J1780" s="16"/>
    </row>
    <row r="1781" ht="15.75" customHeight="1">
      <c r="A1781" s="20"/>
      <c r="D1781" s="18"/>
      <c r="J1781" s="13"/>
    </row>
    <row r="1782" ht="15.75" customHeight="1">
      <c r="D1782" s="18"/>
      <c r="H1782" s="19"/>
      <c r="J1782" s="16"/>
    </row>
    <row r="1783" ht="15.75" customHeight="1">
      <c r="D1783" s="18"/>
      <c r="H1783" s="19"/>
      <c r="J1783" s="16"/>
    </row>
    <row r="1784" ht="15.75" customHeight="1">
      <c r="D1784" s="18"/>
      <c r="H1784" s="19"/>
      <c r="J1784" s="16"/>
    </row>
    <row r="1785" ht="15.75" customHeight="1">
      <c r="D1785" s="18"/>
      <c r="H1785" s="19"/>
      <c r="J1785" s="16"/>
    </row>
    <row r="1786" ht="15.75" customHeight="1">
      <c r="D1786" s="18"/>
      <c r="H1786" s="19"/>
      <c r="J1786" s="16"/>
    </row>
    <row r="1787" ht="15.75" customHeight="1">
      <c r="D1787" s="18"/>
      <c r="H1787" s="19"/>
      <c r="J1787" s="16"/>
    </row>
    <row r="1788" ht="15.75" customHeight="1">
      <c r="D1788" s="18"/>
      <c r="J1788" s="13"/>
    </row>
    <row r="1789" ht="15.75" customHeight="1">
      <c r="D1789" s="18"/>
      <c r="H1789" s="19"/>
      <c r="J1789" s="16"/>
    </row>
    <row r="1790" ht="15.75" customHeight="1">
      <c r="D1790" s="18"/>
      <c r="H1790" s="19"/>
      <c r="J1790" s="13"/>
    </row>
    <row r="1791" ht="15.75" customHeight="1">
      <c r="D1791" s="18"/>
      <c r="H1791" s="19"/>
      <c r="J1791" s="16"/>
    </row>
    <row r="1792" ht="15.75" customHeight="1">
      <c r="D1792" s="18"/>
      <c r="J1792" s="13"/>
    </row>
    <row r="1793" ht="15.75" customHeight="1">
      <c r="D1793" s="18"/>
      <c r="H1793" s="19"/>
      <c r="J1793" s="16"/>
    </row>
    <row r="1794" ht="15.75" customHeight="1">
      <c r="D1794" s="18"/>
      <c r="J1794" s="13"/>
    </row>
    <row r="1795" ht="15.75" customHeight="1">
      <c r="D1795" s="18"/>
      <c r="I1795" s="12"/>
      <c r="J1795" s="13"/>
    </row>
    <row r="1796" ht="15.75" customHeight="1">
      <c r="A1796" s="20"/>
      <c r="D1796" s="18"/>
      <c r="H1796" s="19"/>
      <c r="I1796" s="12"/>
      <c r="J1796" s="16"/>
    </row>
    <row r="1797" ht="15.75" customHeight="1">
      <c r="D1797" s="18"/>
      <c r="H1797" s="19"/>
      <c r="J1797" s="16"/>
    </row>
    <row r="1798" ht="15.75" customHeight="1">
      <c r="D1798" s="18"/>
      <c r="J1798" s="16"/>
    </row>
    <row r="1799" ht="15.75" customHeight="1">
      <c r="D1799" s="18"/>
      <c r="H1799" s="19"/>
      <c r="J1799" s="16"/>
    </row>
    <row r="1800" ht="15.75" customHeight="1">
      <c r="D1800" s="18"/>
      <c r="H1800" s="19"/>
      <c r="J1800" s="16"/>
    </row>
    <row r="1801" ht="15.75" customHeight="1">
      <c r="D1801" s="18"/>
      <c r="H1801" s="19"/>
      <c r="J1801" s="16"/>
    </row>
    <row r="1802" ht="15.75" customHeight="1">
      <c r="A1802" s="20"/>
      <c r="D1802" s="18"/>
      <c r="H1802" s="19"/>
      <c r="I1802" s="12"/>
      <c r="J1802" s="13"/>
    </row>
    <row r="1803" ht="15.75" customHeight="1">
      <c r="A1803" s="20"/>
      <c r="D1803" s="18"/>
      <c r="H1803" s="19"/>
      <c r="J1803" s="13"/>
    </row>
    <row r="1804" ht="15.75" customHeight="1">
      <c r="A1804" s="20"/>
      <c r="D1804" s="18"/>
      <c r="J1804" s="13"/>
    </row>
    <row r="1805" ht="15.75" customHeight="1">
      <c r="D1805" s="18"/>
      <c r="H1805" s="19"/>
      <c r="J1805" s="16"/>
    </row>
    <row r="1806" ht="15.75" customHeight="1">
      <c r="A1806" s="20"/>
      <c r="D1806" s="18"/>
      <c r="H1806" s="19"/>
      <c r="J1806" s="16"/>
    </row>
    <row r="1807" ht="15.75" customHeight="1">
      <c r="D1807" s="18"/>
      <c r="J1807" s="13"/>
    </row>
    <row r="1808" ht="15.75" customHeight="1">
      <c r="A1808" s="20"/>
      <c r="D1808" s="18"/>
      <c r="J1808" s="16"/>
    </row>
    <row r="1809" ht="15.75" customHeight="1">
      <c r="D1809" s="18"/>
      <c r="H1809" s="19"/>
      <c r="J1809" s="13"/>
    </row>
    <row r="1810" ht="15.75" customHeight="1">
      <c r="D1810" s="18"/>
      <c r="J1810" s="13"/>
    </row>
    <row r="1811" ht="15.75" customHeight="1">
      <c r="D1811" s="18"/>
      <c r="J1811" s="13"/>
    </row>
    <row r="1812" ht="15.75" customHeight="1">
      <c r="A1812" s="20"/>
      <c r="D1812" s="18"/>
      <c r="H1812" s="19"/>
      <c r="J1812" s="16"/>
    </row>
    <row r="1813" ht="15.75" customHeight="1">
      <c r="D1813" s="18"/>
      <c r="H1813" s="19"/>
      <c r="I1813" s="12"/>
      <c r="J1813" s="16"/>
    </row>
    <row r="1814" ht="15.75" customHeight="1">
      <c r="D1814" s="18"/>
      <c r="H1814" s="19"/>
      <c r="I1814" s="12"/>
      <c r="J1814" s="16"/>
    </row>
    <row r="1815" ht="15.75" customHeight="1">
      <c r="D1815" s="18"/>
      <c r="H1815" s="19"/>
      <c r="J1815" s="16"/>
    </row>
    <row r="1816" ht="15.75" customHeight="1">
      <c r="D1816" s="18"/>
      <c r="H1816" s="19"/>
      <c r="J1816" s="16"/>
    </row>
    <row r="1817" ht="15.75" customHeight="1">
      <c r="D1817" s="18"/>
      <c r="H1817" s="19"/>
      <c r="J1817" s="16"/>
    </row>
    <row r="1818" ht="15.75" customHeight="1">
      <c r="D1818" s="18"/>
      <c r="J1818" s="13"/>
    </row>
    <row r="1819" ht="15.75" customHeight="1">
      <c r="D1819" s="18"/>
      <c r="H1819" s="19"/>
      <c r="J1819" s="16"/>
    </row>
    <row r="1820" ht="15.75" customHeight="1">
      <c r="D1820" s="18"/>
      <c r="I1820" s="12"/>
      <c r="J1820" s="16"/>
    </row>
    <row r="1821" ht="15.75" customHeight="1">
      <c r="D1821" s="18"/>
      <c r="H1821" s="19"/>
      <c r="J1821" s="13"/>
    </row>
    <row r="1822" ht="15.75" customHeight="1">
      <c r="D1822" s="18"/>
      <c r="J1822" s="13"/>
    </row>
    <row r="1823" ht="15.75" customHeight="1">
      <c r="A1823" s="20"/>
      <c r="D1823" s="18"/>
      <c r="H1823" s="19"/>
      <c r="J1823" s="13"/>
    </row>
    <row r="1824" ht="15.75" customHeight="1">
      <c r="D1824" s="18"/>
      <c r="H1824" s="19"/>
      <c r="J1824" s="16"/>
    </row>
    <row r="1825" ht="15.75" customHeight="1">
      <c r="A1825" s="20"/>
      <c r="D1825" s="18"/>
      <c r="J1825" s="16"/>
    </row>
    <row r="1826" ht="15.75" customHeight="1">
      <c r="D1826" s="18"/>
      <c r="H1826" s="19"/>
      <c r="I1826" s="12"/>
      <c r="J1826" s="13"/>
    </row>
    <row r="1827" ht="15.75" customHeight="1">
      <c r="A1827" s="20"/>
      <c r="D1827" s="18"/>
      <c r="J1827" s="13"/>
    </row>
    <row r="1828" ht="15.75" customHeight="1">
      <c r="D1828" s="18"/>
      <c r="J1828" s="13"/>
    </row>
    <row r="1829" ht="15.75" customHeight="1">
      <c r="D1829" s="18"/>
      <c r="H1829" s="19"/>
      <c r="J1829" s="16"/>
    </row>
    <row r="1830" ht="15.75" customHeight="1">
      <c r="A1830" s="20"/>
      <c r="D1830" s="18"/>
      <c r="H1830" s="19"/>
      <c r="J1830" s="16"/>
    </row>
    <row r="1831" ht="15.75" customHeight="1">
      <c r="D1831" s="18"/>
      <c r="I1831" s="12"/>
      <c r="J1831" s="13"/>
    </row>
    <row r="1832" ht="15.75" customHeight="1">
      <c r="D1832" s="18"/>
      <c r="I1832" s="12"/>
      <c r="J1832" s="13"/>
    </row>
    <row r="1833" ht="15.75" customHeight="1">
      <c r="D1833" s="18"/>
      <c r="I1833" s="12"/>
      <c r="J1833" s="13"/>
    </row>
    <row r="1834" ht="15.75" customHeight="1">
      <c r="D1834" s="18"/>
      <c r="H1834" s="19"/>
      <c r="I1834" s="12"/>
      <c r="J1834" s="13"/>
    </row>
    <row r="1835" ht="15.75" customHeight="1">
      <c r="D1835" s="18"/>
      <c r="J1835" s="13"/>
    </row>
    <row r="1836" ht="15.75" customHeight="1">
      <c r="D1836" s="18"/>
      <c r="H1836" s="19"/>
      <c r="J1836" s="13"/>
    </row>
    <row r="1837" ht="15.75" customHeight="1">
      <c r="D1837" s="18"/>
      <c r="H1837" s="19"/>
      <c r="J1837" s="16"/>
    </row>
    <row r="1838" ht="15.75" customHeight="1">
      <c r="D1838" s="18"/>
      <c r="H1838" s="19"/>
      <c r="J1838" s="16"/>
    </row>
    <row r="1839" ht="15.75" customHeight="1">
      <c r="D1839" s="18"/>
      <c r="J1839" s="16"/>
    </row>
    <row r="1840" ht="15.75" customHeight="1">
      <c r="D1840" s="18"/>
      <c r="H1840" s="19"/>
      <c r="J1840" s="13"/>
    </row>
    <row r="1841" ht="15.75" customHeight="1">
      <c r="D1841" s="18"/>
      <c r="J1841" s="13"/>
    </row>
    <row r="1842" ht="15.75" customHeight="1">
      <c r="D1842" s="18"/>
      <c r="I1842" s="12"/>
      <c r="J1842" s="13"/>
    </row>
    <row r="1843" ht="15.75" customHeight="1">
      <c r="A1843" s="20"/>
      <c r="D1843" s="18"/>
      <c r="H1843" s="19"/>
      <c r="I1843" s="12"/>
      <c r="J1843" s="16"/>
    </row>
    <row r="1844" ht="15.75" customHeight="1">
      <c r="A1844" s="20"/>
      <c r="D1844" s="18"/>
      <c r="H1844" s="19"/>
      <c r="I1844" s="12"/>
      <c r="J1844" s="16"/>
    </row>
    <row r="1845" ht="15.75" customHeight="1">
      <c r="D1845" s="18"/>
      <c r="H1845" s="19"/>
      <c r="I1845" s="12"/>
      <c r="J1845" s="16"/>
    </row>
    <row r="1846" ht="15.75" customHeight="1">
      <c r="D1846" s="18"/>
      <c r="H1846" s="19"/>
      <c r="J1846" s="16"/>
    </row>
    <row r="1847" ht="15.75" customHeight="1">
      <c r="D1847" s="18"/>
      <c r="J1847" s="13"/>
    </row>
    <row r="1848" ht="15.75" customHeight="1">
      <c r="D1848" s="18"/>
      <c r="H1848" s="19"/>
      <c r="I1848" s="12"/>
      <c r="J1848" s="13"/>
    </row>
    <row r="1849" ht="15.75" customHeight="1">
      <c r="D1849" s="18"/>
      <c r="H1849" s="19"/>
      <c r="J1849" s="16"/>
    </row>
    <row r="1850" ht="15.75" customHeight="1">
      <c r="D1850" s="18"/>
      <c r="H1850" s="19"/>
      <c r="J1850" s="16"/>
    </row>
    <row r="1851" ht="15.75" customHeight="1">
      <c r="D1851" s="18"/>
      <c r="H1851" s="19"/>
      <c r="J1851" s="13"/>
    </row>
    <row r="1852" ht="15.75" customHeight="1">
      <c r="D1852" s="18"/>
      <c r="H1852" s="19"/>
      <c r="I1852" s="12"/>
      <c r="J1852" s="13"/>
    </row>
    <row r="1853" ht="15.75" customHeight="1">
      <c r="D1853" s="18"/>
      <c r="H1853" s="19"/>
      <c r="I1853" s="12"/>
      <c r="J1853" s="13"/>
    </row>
    <row r="1854" ht="15.75" customHeight="1">
      <c r="D1854" s="18"/>
      <c r="H1854" s="19"/>
      <c r="I1854" s="12"/>
      <c r="J1854" s="13"/>
    </row>
    <row r="1855" ht="15.75" customHeight="1">
      <c r="D1855" s="18"/>
      <c r="H1855" s="19"/>
      <c r="I1855" s="12"/>
      <c r="J1855" s="13"/>
    </row>
    <row r="1856" ht="15.75" customHeight="1">
      <c r="A1856" s="20"/>
      <c r="D1856" s="18"/>
      <c r="H1856" s="19"/>
      <c r="I1856" s="12"/>
      <c r="J1856" s="13"/>
    </row>
    <row r="1857" ht="15.75" customHeight="1">
      <c r="D1857" s="18"/>
      <c r="H1857" s="19"/>
      <c r="I1857" s="12"/>
      <c r="J1857" s="16"/>
    </row>
    <row r="1858" ht="15.75" customHeight="1">
      <c r="D1858" s="18"/>
      <c r="I1858" s="12"/>
      <c r="J1858" s="13"/>
    </row>
    <row r="1859" ht="15.75" customHeight="1">
      <c r="D1859" s="18"/>
      <c r="H1859" s="19"/>
      <c r="I1859" s="12"/>
      <c r="J1859" s="16"/>
    </row>
    <row r="1860" ht="15.75" customHeight="1">
      <c r="D1860" s="18"/>
      <c r="H1860" s="19"/>
      <c r="J1860" s="16"/>
    </row>
    <row r="1861" ht="15.75" customHeight="1">
      <c r="D1861" s="18"/>
      <c r="H1861" s="19"/>
      <c r="J1861" s="16"/>
    </row>
    <row r="1862" ht="15.75" customHeight="1">
      <c r="D1862" s="18"/>
      <c r="J1862" s="13"/>
    </row>
    <row r="1863" ht="15.75" customHeight="1">
      <c r="D1863" s="18"/>
      <c r="H1863" s="19"/>
      <c r="J1863" s="13"/>
    </row>
    <row r="1864" ht="15.75" customHeight="1">
      <c r="D1864" s="18"/>
      <c r="J1864" s="13"/>
    </row>
    <row r="1865" ht="15.75" customHeight="1">
      <c r="D1865" s="18"/>
      <c r="H1865" s="19"/>
      <c r="J1865" s="16"/>
    </row>
    <row r="1866" ht="15.75" customHeight="1">
      <c r="D1866" s="18"/>
      <c r="I1866" s="12"/>
      <c r="J1866" s="13"/>
    </row>
    <row r="1867" ht="15.75" customHeight="1">
      <c r="D1867" s="18"/>
      <c r="H1867" s="19"/>
      <c r="J1867" s="16"/>
    </row>
    <row r="1868" ht="15.75" customHeight="1">
      <c r="D1868" s="18"/>
      <c r="H1868" s="19"/>
      <c r="J1868" s="13"/>
    </row>
    <row r="1869" ht="15.75" customHeight="1">
      <c r="D1869" s="18"/>
      <c r="H1869" s="19"/>
      <c r="I1869" s="12"/>
      <c r="J1869" s="16"/>
    </row>
    <row r="1870" ht="15.75" customHeight="1">
      <c r="D1870" s="18"/>
      <c r="H1870" s="19"/>
      <c r="J1870" s="13"/>
    </row>
    <row r="1871" ht="15.75" customHeight="1">
      <c r="D1871" s="18"/>
      <c r="H1871" s="19"/>
      <c r="J1871" s="13"/>
    </row>
    <row r="1872" ht="15.75" customHeight="1">
      <c r="D1872" s="18"/>
      <c r="H1872" s="19"/>
      <c r="J1872" s="13"/>
    </row>
    <row r="1873" ht="15.75" customHeight="1">
      <c r="D1873" s="18"/>
      <c r="H1873" s="19"/>
      <c r="J1873" s="16"/>
    </row>
    <row r="1874" ht="15.75" customHeight="1">
      <c r="D1874" s="18"/>
      <c r="H1874" s="19"/>
      <c r="J1874" s="16"/>
    </row>
    <row r="1875" ht="15.75" customHeight="1">
      <c r="D1875" s="18"/>
      <c r="H1875" s="19"/>
      <c r="J1875" s="13"/>
    </row>
    <row r="1876" ht="15.75" customHeight="1">
      <c r="D1876" s="18"/>
      <c r="H1876" s="19"/>
      <c r="J1876" s="13"/>
    </row>
    <row r="1877" ht="15.75" customHeight="1">
      <c r="D1877" s="18"/>
      <c r="H1877" s="19"/>
      <c r="J1877" s="16"/>
    </row>
    <row r="1878" ht="15.75" customHeight="1">
      <c r="D1878" s="18"/>
      <c r="H1878" s="19"/>
      <c r="J1878" s="13"/>
    </row>
    <row r="1879" ht="15.75" customHeight="1">
      <c r="D1879" s="18"/>
      <c r="J1879" s="16"/>
    </row>
    <row r="1880" ht="15.75" customHeight="1">
      <c r="D1880" s="18"/>
      <c r="H1880" s="19"/>
      <c r="J1880" s="13"/>
    </row>
    <row r="1881" ht="15.75" customHeight="1">
      <c r="D1881" s="18"/>
      <c r="I1881" s="12"/>
      <c r="J1881" s="16"/>
    </row>
    <row r="1882" ht="15.75" customHeight="1">
      <c r="D1882" s="18"/>
      <c r="I1882" s="12"/>
      <c r="J1882" s="13"/>
    </row>
    <row r="1883" ht="15.75" customHeight="1">
      <c r="D1883" s="18"/>
      <c r="H1883" s="19"/>
      <c r="J1883" s="16"/>
    </row>
    <row r="1884" ht="15.75" customHeight="1">
      <c r="D1884" s="18"/>
      <c r="H1884" s="19"/>
      <c r="J1884" s="16"/>
    </row>
    <row r="1885" ht="15.75" customHeight="1">
      <c r="D1885" s="18"/>
      <c r="H1885" s="19"/>
      <c r="J1885" s="16"/>
    </row>
    <row r="1886" ht="15.75" customHeight="1">
      <c r="D1886" s="18"/>
      <c r="H1886" s="19"/>
      <c r="J1886" s="13"/>
    </row>
    <row r="1887" ht="15.75" customHeight="1">
      <c r="D1887" s="18"/>
      <c r="J1887" s="16"/>
    </row>
    <row r="1888" ht="15.75" customHeight="1">
      <c r="D1888" s="18"/>
      <c r="H1888" s="19"/>
      <c r="I1888" s="12"/>
      <c r="J1888" s="16"/>
    </row>
    <row r="1889" ht="15.75" customHeight="1">
      <c r="D1889" s="18"/>
      <c r="H1889" s="19"/>
      <c r="J1889" s="13"/>
    </row>
    <row r="1890" ht="15.75" customHeight="1">
      <c r="D1890" s="18"/>
      <c r="H1890" s="19"/>
      <c r="J1890" s="16"/>
    </row>
    <row r="1891" ht="15.75" customHeight="1">
      <c r="D1891" s="18"/>
      <c r="H1891" s="19"/>
      <c r="J1891" s="16"/>
    </row>
    <row r="1892" ht="15.75" customHeight="1">
      <c r="D1892" s="18"/>
      <c r="J1892" s="13"/>
    </row>
    <row r="1893" ht="15.75" customHeight="1">
      <c r="D1893" s="18"/>
      <c r="J1893" s="13"/>
    </row>
    <row r="1894" ht="15.75" customHeight="1">
      <c r="D1894" s="18"/>
      <c r="I1894" s="12"/>
      <c r="J1894" s="13"/>
    </row>
    <row r="1895" ht="15.75" customHeight="1">
      <c r="D1895" s="18"/>
      <c r="H1895" s="19"/>
      <c r="I1895" s="12"/>
      <c r="J1895" s="16"/>
    </row>
    <row r="1896" ht="15.75" customHeight="1">
      <c r="D1896" s="18"/>
      <c r="H1896" s="19"/>
      <c r="I1896" s="12"/>
      <c r="J1896" s="16"/>
    </row>
    <row r="1897" ht="15.75" customHeight="1">
      <c r="D1897" s="18"/>
      <c r="H1897" s="19"/>
      <c r="I1897" s="12"/>
      <c r="J1897" s="16"/>
    </row>
    <row r="1898" ht="15.75" customHeight="1">
      <c r="D1898" s="18"/>
      <c r="J1898" s="16"/>
    </row>
    <row r="1899" ht="15.75" customHeight="1">
      <c r="D1899" s="18"/>
      <c r="H1899" s="19"/>
      <c r="J1899" s="16"/>
    </row>
    <row r="1900" ht="15.75" customHeight="1">
      <c r="D1900" s="18"/>
      <c r="I1900" s="12"/>
      <c r="J1900" s="13"/>
    </row>
    <row r="1901" ht="15.75" customHeight="1">
      <c r="D1901" s="18"/>
      <c r="I1901" s="12"/>
      <c r="J1901" s="13"/>
    </row>
    <row r="1902" ht="15.75" customHeight="1">
      <c r="D1902" s="18"/>
      <c r="I1902" s="12"/>
      <c r="J1902" s="13"/>
    </row>
    <row r="1903" ht="15.75" customHeight="1">
      <c r="D1903" s="18"/>
      <c r="I1903" s="12"/>
      <c r="J1903" s="16"/>
    </row>
    <row r="1904" ht="15.75" customHeight="1">
      <c r="D1904" s="18"/>
      <c r="H1904" s="19"/>
      <c r="I1904" s="12"/>
      <c r="J1904" s="16"/>
    </row>
    <row r="1905" ht="15.75" customHeight="1">
      <c r="D1905" s="18"/>
      <c r="H1905" s="19"/>
      <c r="I1905" s="12"/>
      <c r="J1905" s="13"/>
    </row>
    <row r="1906" ht="15.75" customHeight="1">
      <c r="D1906" s="18"/>
      <c r="H1906" s="19"/>
      <c r="J1906" s="16"/>
    </row>
    <row r="1907" ht="15.75" customHeight="1">
      <c r="A1907" s="20"/>
      <c r="D1907" s="18"/>
      <c r="J1907" s="13"/>
    </row>
    <row r="1908" ht="15.75" customHeight="1">
      <c r="D1908" s="18"/>
      <c r="H1908" s="19"/>
      <c r="J1908" s="13"/>
    </row>
    <row r="1909" ht="15.75" customHeight="1">
      <c r="D1909" s="18"/>
      <c r="H1909" s="19"/>
      <c r="J1909" s="16"/>
    </row>
    <row r="1910" ht="15.75" customHeight="1">
      <c r="D1910" s="18"/>
      <c r="H1910" s="19"/>
      <c r="I1910" s="12"/>
      <c r="J1910" s="16"/>
    </row>
    <row r="1911" ht="15.75" customHeight="1">
      <c r="D1911" s="18"/>
      <c r="I1911" s="12"/>
      <c r="J1911" s="13"/>
    </row>
    <row r="1912" ht="15.75" customHeight="1">
      <c r="A1912" s="20"/>
      <c r="D1912" s="18"/>
      <c r="H1912" s="19"/>
      <c r="I1912" s="12"/>
      <c r="J1912" s="13"/>
    </row>
    <row r="1913" ht="15.75" customHeight="1">
      <c r="D1913" s="18"/>
      <c r="H1913" s="19"/>
      <c r="I1913" s="12"/>
      <c r="J1913" s="13"/>
    </row>
    <row r="1914" ht="15.75" customHeight="1">
      <c r="D1914" s="18"/>
      <c r="J1914" s="13"/>
    </row>
    <row r="1915" ht="15.75" customHeight="1">
      <c r="D1915" s="18"/>
      <c r="H1915" s="19"/>
      <c r="J1915" s="13"/>
    </row>
    <row r="1916" ht="15.75" customHeight="1">
      <c r="D1916" s="18"/>
      <c r="H1916" s="19"/>
      <c r="J1916" s="16"/>
    </row>
    <row r="1917" ht="15.75" customHeight="1">
      <c r="D1917" s="18"/>
      <c r="H1917" s="19"/>
      <c r="J1917" s="16"/>
    </row>
    <row r="1918" ht="15.75" customHeight="1">
      <c r="D1918" s="18"/>
      <c r="J1918" s="13"/>
    </row>
    <row r="1919" ht="15.75" customHeight="1">
      <c r="D1919" s="18"/>
      <c r="I1919" s="12"/>
      <c r="J1919" s="13"/>
    </row>
    <row r="1920" ht="15.75" customHeight="1">
      <c r="D1920" s="18"/>
      <c r="I1920" s="12"/>
      <c r="J1920" s="16"/>
    </row>
    <row r="1921" ht="15.75" customHeight="1">
      <c r="D1921" s="18"/>
      <c r="H1921" s="19"/>
      <c r="I1921" s="12"/>
      <c r="J1921" s="13"/>
    </row>
    <row r="1922" ht="15.75" customHeight="1">
      <c r="D1922" s="18"/>
      <c r="J1922" s="13"/>
    </row>
    <row r="1923" ht="15.75" customHeight="1">
      <c r="D1923" s="18"/>
      <c r="H1923" s="19"/>
      <c r="J1923" s="16"/>
    </row>
    <row r="1924" ht="15.75" customHeight="1">
      <c r="D1924" s="18"/>
      <c r="H1924" s="19"/>
      <c r="J1924" s="13"/>
    </row>
    <row r="1925" ht="15.75" customHeight="1">
      <c r="D1925" s="18"/>
      <c r="H1925" s="19"/>
      <c r="J1925" s="13"/>
    </row>
    <row r="1926" ht="15.75" customHeight="1">
      <c r="D1926" s="18"/>
      <c r="H1926" s="19"/>
      <c r="J1926" s="13"/>
    </row>
    <row r="1927" ht="15.75" customHeight="1">
      <c r="D1927" s="18"/>
      <c r="J1927" s="13"/>
    </row>
    <row r="1928" ht="15.75" customHeight="1">
      <c r="D1928" s="18"/>
      <c r="H1928" s="19"/>
      <c r="I1928" s="12"/>
      <c r="J1928" s="16"/>
    </row>
    <row r="1929" ht="15.75" customHeight="1">
      <c r="D1929" s="18"/>
      <c r="H1929" s="19"/>
      <c r="I1929" s="12"/>
      <c r="J1929" s="16"/>
    </row>
    <row r="1930" ht="15.75" customHeight="1">
      <c r="D1930" s="18"/>
      <c r="H1930" s="19"/>
      <c r="I1930" s="12"/>
      <c r="J1930" s="16"/>
    </row>
    <row r="1931" ht="15.75" customHeight="1">
      <c r="D1931" s="18"/>
      <c r="I1931" s="12"/>
      <c r="J1931" s="16"/>
    </row>
    <row r="1932" ht="15.75" customHeight="1">
      <c r="D1932" s="18"/>
      <c r="H1932" s="19"/>
      <c r="I1932" s="12"/>
      <c r="J1932" s="13"/>
    </row>
    <row r="1933" ht="15.75" customHeight="1">
      <c r="D1933" s="18"/>
      <c r="H1933" s="19"/>
      <c r="I1933" s="12"/>
      <c r="J1933" s="13"/>
    </row>
    <row r="1934" ht="15.75" customHeight="1">
      <c r="D1934" s="18"/>
      <c r="J1934" s="13"/>
    </row>
    <row r="1935" ht="15.75" customHeight="1">
      <c r="D1935" s="18"/>
      <c r="H1935" s="19"/>
      <c r="J1935" s="16"/>
    </row>
    <row r="1936" ht="15.75" customHeight="1">
      <c r="D1936" s="18"/>
      <c r="H1936" s="19"/>
      <c r="I1936" s="12"/>
      <c r="J1936" s="16"/>
    </row>
    <row r="1937" ht="15.75" customHeight="1">
      <c r="D1937" s="18"/>
      <c r="H1937" s="19"/>
      <c r="I1937" s="12"/>
      <c r="J1937" s="16"/>
    </row>
    <row r="1938" ht="15.75" customHeight="1">
      <c r="D1938" s="18"/>
      <c r="H1938" s="19"/>
      <c r="J1938" s="16"/>
    </row>
    <row r="1939" ht="15.75" customHeight="1">
      <c r="D1939" s="18"/>
      <c r="H1939" s="19"/>
      <c r="J1939" s="16"/>
    </row>
    <row r="1940" ht="15.75" customHeight="1">
      <c r="D1940" s="18"/>
      <c r="H1940" s="19"/>
      <c r="J1940" s="13"/>
    </row>
    <row r="1941" ht="15.75" customHeight="1">
      <c r="D1941" s="18"/>
      <c r="H1941" s="19"/>
      <c r="J1941" s="16"/>
    </row>
    <row r="1942" ht="15.75" customHeight="1">
      <c r="D1942" s="18"/>
      <c r="H1942" s="19"/>
      <c r="J1942" s="16"/>
    </row>
    <row r="1943" ht="15.75" customHeight="1">
      <c r="D1943" s="18"/>
      <c r="J1943" s="13"/>
    </row>
    <row r="1944" ht="15.75" customHeight="1">
      <c r="D1944" s="18"/>
      <c r="I1944" s="12"/>
      <c r="J1944" s="16"/>
    </row>
    <row r="1945" ht="15.75" customHeight="1">
      <c r="D1945" s="18"/>
      <c r="H1945" s="19"/>
      <c r="I1945" s="12"/>
      <c r="J1945" s="13"/>
    </row>
    <row r="1946" ht="15.75" customHeight="1">
      <c r="D1946" s="18"/>
      <c r="H1946" s="19"/>
      <c r="I1946" s="12"/>
      <c r="J1946" s="13"/>
    </row>
    <row r="1947" ht="15.75" customHeight="1">
      <c r="D1947" s="18"/>
      <c r="H1947" s="19"/>
      <c r="I1947" s="12"/>
      <c r="J1947" s="13"/>
    </row>
    <row r="1948" ht="15.75" customHeight="1">
      <c r="D1948" s="18"/>
      <c r="I1948" s="12"/>
      <c r="J1948" s="13"/>
    </row>
    <row r="1949" ht="15.75" customHeight="1">
      <c r="D1949" s="18"/>
      <c r="H1949" s="19"/>
      <c r="I1949" s="12"/>
      <c r="J1949" s="16"/>
    </row>
    <row r="1950" ht="15.75" customHeight="1">
      <c r="D1950" s="18"/>
      <c r="H1950" s="19"/>
      <c r="J1950" s="16"/>
    </row>
    <row r="1951" ht="15.75" customHeight="1">
      <c r="D1951" s="18"/>
      <c r="H1951" s="19"/>
      <c r="J1951" s="16"/>
    </row>
    <row r="1952" ht="15.75" customHeight="1">
      <c r="D1952" s="18"/>
      <c r="H1952" s="19"/>
      <c r="I1952" s="12"/>
      <c r="J1952" s="16"/>
    </row>
    <row r="1953" ht="15.75" customHeight="1">
      <c r="D1953" s="18"/>
      <c r="I1953" s="12"/>
      <c r="J1953" s="13"/>
    </row>
    <row r="1954" ht="15.75" customHeight="1">
      <c r="D1954" s="18"/>
      <c r="H1954" s="19"/>
      <c r="J1954" s="16"/>
    </row>
    <row r="1955" ht="15.75" customHeight="1">
      <c r="D1955" s="18"/>
      <c r="J1955" s="13"/>
    </row>
    <row r="1956" ht="15.75" customHeight="1">
      <c r="D1956" s="18"/>
      <c r="H1956" s="19"/>
      <c r="J1956" s="16"/>
    </row>
    <row r="1957" ht="15.75" customHeight="1">
      <c r="D1957" s="18"/>
      <c r="H1957" s="19"/>
      <c r="J1957" s="13"/>
    </row>
    <row r="1958" ht="15.75" customHeight="1">
      <c r="A1958" s="20"/>
      <c r="D1958" s="18"/>
      <c r="H1958" s="19"/>
      <c r="J1958" s="13"/>
    </row>
    <row r="1959" ht="15.75" customHeight="1">
      <c r="A1959" s="20"/>
      <c r="D1959" s="21"/>
      <c r="I1959" s="12"/>
      <c r="J1959" s="13"/>
    </row>
    <row r="1960" ht="15.75" customHeight="1">
      <c r="A1960" s="20"/>
      <c r="D1960" s="18"/>
      <c r="H1960" s="19"/>
      <c r="I1960" s="12"/>
      <c r="J1960" s="16"/>
    </row>
    <row r="1961" ht="15.75" customHeight="1">
      <c r="A1961" s="14"/>
      <c r="D1961" s="18"/>
      <c r="H1961" s="19"/>
      <c r="I1961" s="12"/>
      <c r="J1961" s="16"/>
    </row>
    <row r="1962" ht="15.75" customHeight="1">
      <c r="A1962" s="20"/>
      <c r="D1962" s="18"/>
      <c r="I1962" s="12"/>
      <c r="J1962" s="13"/>
    </row>
    <row r="1963" ht="15.75" customHeight="1">
      <c r="D1963" s="18"/>
      <c r="H1963" s="19"/>
      <c r="I1963" s="12"/>
      <c r="J1963" s="13"/>
    </row>
    <row r="1964" ht="15.75" customHeight="1">
      <c r="D1964" s="18"/>
      <c r="I1964" s="12"/>
      <c r="J1964" s="16"/>
    </row>
    <row r="1965" ht="15.75" customHeight="1">
      <c r="D1965" s="18"/>
      <c r="I1965" s="12"/>
      <c r="J1965" s="13"/>
    </row>
    <row r="1966" ht="15.75" customHeight="1">
      <c r="D1966" s="18"/>
      <c r="H1966" s="19"/>
      <c r="J1966" s="16"/>
    </row>
    <row r="1967" ht="15.75" customHeight="1">
      <c r="D1967" s="18"/>
      <c r="H1967" s="19"/>
      <c r="J1967" s="13"/>
    </row>
    <row r="1968" ht="15.75" customHeight="1">
      <c r="D1968" s="18"/>
      <c r="J1968" s="13"/>
    </row>
    <row r="1969" ht="15.75" customHeight="1">
      <c r="A1969" s="20"/>
      <c r="D1969" s="18"/>
      <c r="J1969" s="13"/>
    </row>
    <row r="1970" ht="15.75" customHeight="1">
      <c r="D1970" s="18"/>
      <c r="H1970" s="19"/>
      <c r="J1970" s="16"/>
    </row>
    <row r="1971" ht="15.75" customHeight="1">
      <c r="A1971" s="20"/>
      <c r="D1971" s="18"/>
      <c r="H1971" s="19"/>
      <c r="J1971" s="16"/>
    </row>
    <row r="1972" ht="15.75" customHeight="1">
      <c r="D1972" s="18"/>
      <c r="J1972" s="16"/>
    </row>
    <row r="1973" ht="15.75" customHeight="1">
      <c r="D1973" s="18"/>
      <c r="H1973" s="19"/>
      <c r="J1973" s="13"/>
    </row>
    <row r="1974" ht="15.75" customHeight="1">
      <c r="D1974" s="18"/>
      <c r="H1974" s="19"/>
      <c r="J1974" s="13"/>
    </row>
    <row r="1975" ht="15.75" customHeight="1">
      <c r="D1975" s="18"/>
      <c r="J1975" s="13"/>
    </row>
    <row r="1976" ht="15.75" customHeight="1">
      <c r="D1976" s="18"/>
      <c r="H1976" s="19"/>
      <c r="J1976" s="16"/>
    </row>
    <row r="1977" ht="15.75" customHeight="1">
      <c r="D1977" s="18"/>
      <c r="J1977" s="16"/>
    </row>
    <row r="1978" ht="15.75" customHeight="1">
      <c r="D1978" s="18"/>
      <c r="H1978" s="19"/>
      <c r="J1978" s="16"/>
    </row>
    <row r="1979" ht="15.75" customHeight="1">
      <c r="A1979" s="20"/>
      <c r="D1979" s="18"/>
      <c r="J1979" s="13"/>
    </row>
    <row r="1980" ht="15.75" customHeight="1">
      <c r="D1980" s="18"/>
      <c r="H1980" s="19"/>
      <c r="J1980" s="13"/>
    </row>
    <row r="1981" ht="15.75" customHeight="1">
      <c r="A1981" s="20"/>
      <c r="D1981" s="18"/>
      <c r="H1981" s="19"/>
      <c r="J1981" s="13"/>
    </row>
    <row r="1982" ht="15.75" customHeight="1">
      <c r="D1982" s="18"/>
      <c r="H1982" s="19"/>
      <c r="J1982" s="13"/>
    </row>
    <row r="1983" ht="15.75" customHeight="1">
      <c r="A1983" s="20"/>
      <c r="D1983" s="18"/>
      <c r="I1983" s="12"/>
      <c r="J1983" s="13"/>
    </row>
    <row r="1984" ht="15.75" customHeight="1">
      <c r="D1984" s="18"/>
      <c r="H1984" s="19"/>
      <c r="J1984" s="13"/>
    </row>
    <row r="1985" ht="15.75" customHeight="1">
      <c r="D1985" s="18"/>
      <c r="I1985" s="12"/>
      <c r="J1985" s="13"/>
    </row>
    <row r="1986" ht="15.75" customHeight="1">
      <c r="D1986" s="18"/>
      <c r="J1986" s="16"/>
    </row>
    <row r="1987" ht="15.75" customHeight="1">
      <c r="D1987" s="18"/>
      <c r="H1987" s="19"/>
      <c r="J1987" s="16"/>
    </row>
    <row r="1988" ht="15.75" customHeight="1">
      <c r="D1988" s="18"/>
      <c r="J1988" s="13"/>
    </row>
    <row r="1989" ht="15.75" customHeight="1">
      <c r="D1989" s="18"/>
      <c r="J1989" s="13"/>
    </row>
    <row r="1990" ht="15.75" customHeight="1">
      <c r="D1990" s="18"/>
      <c r="H1990" s="19"/>
      <c r="J1990" s="16"/>
    </row>
    <row r="1991" ht="15.75" customHeight="1">
      <c r="D1991" s="18"/>
      <c r="H1991" s="19"/>
      <c r="J1991" s="16"/>
    </row>
    <row r="1992" ht="15.75" customHeight="1">
      <c r="D1992" s="18"/>
      <c r="H1992" s="19"/>
      <c r="J1992" s="13"/>
    </row>
    <row r="1993" ht="15.75" customHeight="1">
      <c r="D1993" s="18"/>
      <c r="J1993" s="13"/>
    </row>
    <row r="1994" ht="15.75" customHeight="1">
      <c r="D1994" s="18"/>
      <c r="H1994" s="19"/>
      <c r="J1994" s="16"/>
    </row>
    <row r="1995" ht="15.75" customHeight="1">
      <c r="A1995" s="20"/>
      <c r="D1995" s="18"/>
      <c r="H1995" s="19"/>
      <c r="J1995" s="13"/>
    </row>
    <row r="1996" ht="15.75" customHeight="1">
      <c r="D1996" s="18"/>
      <c r="J1996" s="13"/>
    </row>
    <row r="1997" ht="15.75" customHeight="1">
      <c r="D1997" s="18"/>
      <c r="I1997" s="12"/>
      <c r="J1997" s="13"/>
    </row>
    <row r="1998" ht="15.75" customHeight="1">
      <c r="D1998" s="18"/>
      <c r="H1998" s="19"/>
      <c r="I1998" s="12"/>
      <c r="J1998" s="16"/>
    </row>
    <row r="1999" ht="15.75" customHeight="1">
      <c r="D1999" s="18"/>
      <c r="J1999" s="13"/>
    </row>
    <row r="2000" ht="15.75" customHeight="1">
      <c r="D2000" s="18"/>
      <c r="J2000" s="13"/>
    </row>
    <row r="2001" ht="15.75" customHeight="1">
      <c r="D2001" s="18"/>
      <c r="H2001" s="19"/>
      <c r="J2001" s="16"/>
    </row>
    <row r="2002" ht="15.75" customHeight="1">
      <c r="D2002" s="18"/>
      <c r="H2002" s="19"/>
      <c r="J2002" s="16"/>
    </row>
    <row r="2003" ht="15.75" customHeight="1">
      <c r="D2003" s="18"/>
      <c r="H2003" s="19"/>
      <c r="J2003" s="16"/>
    </row>
    <row r="2004" ht="15.75" customHeight="1">
      <c r="D2004" s="18"/>
      <c r="H2004" s="19"/>
      <c r="J2004" s="13"/>
    </row>
    <row r="2005" ht="15.75" customHeight="1">
      <c r="D2005" s="18"/>
      <c r="H2005" s="19"/>
      <c r="I2005" s="12"/>
      <c r="J2005" s="16"/>
    </row>
    <row r="2006" ht="15.75" customHeight="1">
      <c r="D2006" s="18"/>
      <c r="H2006" s="19"/>
      <c r="I2006" s="12"/>
      <c r="J2006" s="13"/>
    </row>
    <row r="2007" ht="15.75" customHeight="1">
      <c r="D2007" s="18"/>
      <c r="J2007" s="16"/>
    </row>
    <row r="2008" ht="15.75" customHeight="1">
      <c r="D2008" s="18"/>
      <c r="J2008" s="13"/>
    </row>
    <row r="2009" ht="15.75" customHeight="1">
      <c r="D2009" s="18"/>
      <c r="H2009" s="19"/>
      <c r="J2009" s="16"/>
    </row>
    <row r="2010" ht="15.75" customHeight="1">
      <c r="D2010" s="18"/>
      <c r="H2010" s="19"/>
      <c r="J2010" s="16"/>
    </row>
    <row r="2011" ht="15.75" customHeight="1">
      <c r="D2011" s="18"/>
      <c r="H2011" s="19"/>
      <c r="I2011" s="12"/>
      <c r="J2011" s="16"/>
    </row>
    <row r="2012" ht="15.75" customHeight="1">
      <c r="A2012" s="20"/>
      <c r="D2012" s="18"/>
      <c r="I2012" s="12"/>
      <c r="J2012" s="13"/>
    </row>
    <row r="2013" ht="15.75" customHeight="1">
      <c r="D2013" s="18"/>
      <c r="H2013" s="19"/>
      <c r="J2013" s="13"/>
    </row>
    <row r="2014" ht="15.75" customHeight="1">
      <c r="D2014" s="18"/>
      <c r="H2014" s="19"/>
      <c r="J2014" s="16"/>
    </row>
    <row r="2015" ht="15.75" customHeight="1">
      <c r="D2015" s="18"/>
      <c r="H2015" s="19"/>
      <c r="J2015" s="16"/>
    </row>
    <row r="2016" ht="15.75" customHeight="1">
      <c r="D2016" s="18"/>
      <c r="J2016" s="16"/>
    </row>
    <row r="2017" ht="15.75" customHeight="1">
      <c r="D2017" s="18"/>
      <c r="H2017" s="19"/>
      <c r="J2017" s="16"/>
    </row>
    <row r="2018" ht="15.75" customHeight="1">
      <c r="D2018" s="18"/>
      <c r="I2018" s="12"/>
      <c r="J2018" s="13"/>
    </row>
    <row r="2019" ht="15.75" customHeight="1">
      <c r="D2019" s="18"/>
      <c r="I2019" s="12"/>
      <c r="J2019" s="13"/>
    </row>
    <row r="2020" ht="15.75" customHeight="1">
      <c r="A2020" s="20"/>
      <c r="D2020" s="18"/>
      <c r="H2020" s="19"/>
      <c r="I2020" s="12"/>
      <c r="J2020" s="16"/>
    </row>
    <row r="2021" ht="15.75" customHeight="1">
      <c r="A2021" s="20"/>
      <c r="D2021" s="18"/>
      <c r="I2021" s="12"/>
      <c r="J2021" s="13"/>
    </row>
    <row r="2022" ht="15.75" customHeight="1">
      <c r="A2022" s="20"/>
      <c r="D2022" s="18"/>
      <c r="I2022" s="12"/>
      <c r="J2022" s="13"/>
    </row>
    <row r="2023" ht="15.75" customHeight="1">
      <c r="A2023" s="20"/>
      <c r="D2023" s="18"/>
      <c r="I2023" s="12"/>
      <c r="J2023" s="13"/>
    </row>
    <row r="2024" ht="15.75" customHeight="1">
      <c r="D2024" s="18"/>
      <c r="I2024" s="12"/>
      <c r="J2024" s="13"/>
    </row>
    <row r="2025" ht="15.75" customHeight="1">
      <c r="D2025" s="18"/>
      <c r="H2025" s="19"/>
      <c r="I2025" s="12"/>
      <c r="J2025" s="16"/>
    </row>
    <row r="2026" ht="15.75" customHeight="1">
      <c r="D2026" s="18"/>
      <c r="I2026" s="12"/>
      <c r="J2026" s="13"/>
    </row>
    <row r="2027" ht="15.75" customHeight="1">
      <c r="D2027" s="18"/>
      <c r="I2027" s="12"/>
      <c r="J2027" s="13"/>
    </row>
    <row r="2028" ht="15.75" customHeight="1">
      <c r="D2028" s="18"/>
      <c r="H2028" s="19"/>
      <c r="J2028" s="16"/>
    </row>
    <row r="2029" ht="15.75" customHeight="1">
      <c r="D2029" s="18"/>
      <c r="H2029" s="19"/>
      <c r="J2029" s="16"/>
    </row>
    <row r="2030" ht="15.75" customHeight="1">
      <c r="D2030" s="18"/>
      <c r="H2030" s="19"/>
      <c r="J2030" s="13"/>
    </row>
    <row r="2031" ht="15.75" customHeight="1">
      <c r="D2031" s="18"/>
      <c r="H2031" s="19"/>
      <c r="J2031" s="16"/>
    </row>
    <row r="2032" ht="15.75" customHeight="1">
      <c r="D2032" s="18"/>
      <c r="H2032" s="19"/>
      <c r="I2032" s="12"/>
      <c r="J2032" s="16"/>
    </row>
    <row r="2033" ht="15.75" customHeight="1">
      <c r="D2033" s="18"/>
      <c r="H2033" s="19"/>
      <c r="J2033" s="16"/>
    </row>
    <row r="2034" ht="15.75" customHeight="1">
      <c r="D2034" s="18"/>
      <c r="H2034" s="19"/>
      <c r="J2034" s="16"/>
    </row>
    <row r="2035" ht="15.75" customHeight="1">
      <c r="D2035" s="18"/>
      <c r="H2035" s="19"/>
      <c r="J2035" s="13"/>
    </row>
    <row r="2036" ht="15.75" customHeight="1">
      <c r="D2036" s="18"/>
      <c r="H2036" s="19"/>
      <c r="J2036" s="13"/>
    </row>
    <row r="2037" ht="15.75" customHeight="1">
      <c r="D2037" s="18"/>
      <c r="H2037" s="19"/>
      <c r="J2037" s="16"/>
    </row>
    <row r="2038" ht="15.75" customHeight="1">
      <c r="A2038" s="20"/>
      <c r="D2038" s="18"/>
      <c r="H2038" s="19"/>
      <c r="I2038" s="12"/>
      <c r="J2038" s="16"/>
    </row>
    <row r="2039" ht="15.75" customHeight="1">
      <c r="A2039" s="20"/>
      <c r="D2039" s="18"/>
      <c r="H2039" s="19"/>
      <c r="I2039" s="12"/>
      <c r="J2039" s="16"/>
    </row>
    <row r="2040" ht="15.75" customHeight="1">
      <c r="D2040" s="18"/>
      <c r="H2040" s="19"/>
      <c r="I2040" s="12"/>
      <c r="J2040" s="16"/>
    </row>
    <row r="2041" ht="15.75" customHeight="1">
      <c r="D2041" s="18"/>
      <c r="H2041" s="19"/>
      <c r="I2041" s="12"/>
      <c r="J2041" s="16"/>
    </row>
    <row r="2042" ht="15.75" customHeight="1">
      <c r="D2042" s="18"/>
      <c r="H2042" s="19"/>
      <c r="J2042" s="16"/>
    </row>
    <row r="2043" ht="15.75" customHeight="1">
      <c r="A2043" s="20"/>
      <c r="D2043" s="18"/>
      <c r="H2043" s="19"/>
      <c r="J2043" s="13"/>
    </row>
    <row r="2044" ht="15.75" customHeight="1">
      <c r="D2044" s="18"/>
      <c r="H2044" s="19"/>
      <c r="I2044" s="12"/>
      <c r="J2044" s="16"/>
    </row>
    <row r="2045" ht="15.75" customHeight="1">
      <c r="D2045" s="18"/>
      <c r="H2045" s="19"/>
      <c r="I2045" s="12"/>
      <c r="J2045" s="16"/>
    </row>
    <row r="2046" ht="15.75" customHeight="1">
      <c r="D2046" s="18"/>
      <c r="H2046" s="19"/>
      <c r="I2046" s="12"/>
      <c r="J2046" s="16"/>
    </row>
    <row r="2047" ht="15.75" customHeight="1">
      <c r="D2047" s="18"/>
      <c r="H2047" s="19"/>
      <c r="I2047" s="12"/>
      <c r="J2047" s="16"/>
    </row>
    <row r="2048" ht="15.75" customHeight="1">
      <c r="D2048" s="18"/>
      <c r="H2048" s="19"/>
      <c r="I2048" s="12"/>
      <c r="J2048" s="16"/>
    </row>
    <row r="2049" ht="15.75" customHeight="1">
      <c r="D2049" s="18"/>
      <c r="H2049" s="19"/>
      <c r="I2049" s="12"/>
      <c r="J2049" s="16"/>
    </row>
    <row r="2050" ht="15.75" customHeight="1">
      <c r="D2050" s="18"/>
      <c r="H2050" s="19"/>
      <c r="I2050" s="12"/>
      <c r="J2050" s="16"/>
    </row>
    <row r="2051" ht="15.75" customHeight="1">
      <c r="D2051" s="18"/>
      <c r="H2051" s="19"/>
      <c r="I2051" s="12"/>
      <c r="J2051" s="13"/>
    </row>
    <row r="2052" ht="15.75" customHeight="1">
      <c r="D2052" s="18"/>
      <c r="H2052" s="19"/>
      <c r="I2052" s="12"/>
      <c r="J2052" s="16"/>
    </row>
    <row r="2053" ht="15.75" customHeight="1">
      <c r="D2053" s="18"/>
      <c r="H2053" s="19"/>
      <c r="I2053" s="12"/>
      <c r="J2053" s="13"/>
    </row>
    <row r="2054" ht="15.75" customHeight="1">
      <c r="D2054" s="18"/>
      <c r="I2054" s="12"/>
      <c r="J2054" s="13"/>
    </row>
    <row r="2055" ht="15.75" customHeight="1">
      <c r="D2055" s="18"/>
      <c r="H2055" s="19"/>
      <c r="J2055" s="16"/>
    </row>
    <row r="2056" ht="15.75" customHeight="1">
      <c r="D2056" s="18"/>
      <c r="H2056" s="19"/>
      <c r="J2056" s="13"/>
    </row>
    <row r="2057" ht="15.75" customHeight="1">
      <c r="D2057" s="18"/>
      <c r="H2057" s="19"/>
      <c r="J2057" s="13"/>
    </row>
    <row r="2058" ht="15.75" customHeight="1">
      <c r="D2058" s="18"/>
      <c r="H2058" s="19"/>
      <c r="J2058" s="16"/>
    </row>
    <row r="2059" ht="15.75" customHeight="1">
      <c r="D2059" s="18"/>
      <c r="H2059" s="19"/>
      <c r="J2059" s="16"/>
    </row>
    <row r="2060" ht="15.75" customHeight="1">
      <c r="D2060" s="18"/>
      <c r="H2060" s="19"/>
      <c r="J2060" s="16"/>
    </row>
    <row r="2061" ht="15.75" customHeight="1">
      <c r="D2061" s="18"/>
      <c r="H2061" s="19"/>
      <c r="J2061" s="16"/>
    </row>
    <row r="2062" ht="15.75" customHeight="1">
      <c r="D2062" s="18"/>
      <c r="J2062" s="13"/>
    </row>
    <row r="2063" ht="15.75" customHeight="1">
      <c r="D2063" s="18"/>
      <c r="H2063" s="19"/>
      <c r="J2063" s="13"/>
    </row>
    <row r="2064" ht="15.75" customHeight="1">
      <c r="D2064" s="18"/>
      <c r="H2064" s="19"/>
      <c r="J2064" s="16"/>
    </row>
    <row r="2065" ht="15.75" customHeight="1">
      <c r="D2065" s="18"/>
      <c r="H2065" s="19"/>
      <c r="J2065" s="16"/>
    </row>
    <row r="2066" ht="15.75" customHeight="1">
      <c r="A2066" s="20"/>
      <c r="D2066" s="18"/>
      <c r="H2066" s="19"/>
      <c r="J2066" s="16"/>
    </row>
    <row r="2067" ht="15.75" customHeight="1">
      <c r="D2067" s="18"/>
      <c r="H2067" s="19"/>
      <c r="J2067" s="16"/>
    </row>
    <row r="2068" ht="15.75" customHeight="1">
      <c r="A2068" s="20"/>
      <c r="D2068" s="18"/>
      <c r="H2068" s="19"/>
      <c r="I2068" s="12"/>
      <c r="J2068" s="16"/>
    </row>
    <row r="2069" ht="15.75" customHeight="1">
      <c r="D2069" s="18"/>
      <c r="H2069" s="19"/>
      <c r="I2069" s="12"/>
      <c r="J2069" s="16"/>
    </row>
    <row r="2070" ht="15.75" customHeight="1">
      <c r="D2070" s="18"/>
      <c r="H2070" s="19"/>
      <c r="J2070" s="16"/>
    </row>
    <row r="2071" ht="15.75" customHeight="1">
      <c r="D2071" s="18"/>
      <c r="J2071" s="13"/>
    </row>
    <row r="2072" ht="15.75" customHeight="1">
      <c r="D2072" s="18"/>
      <c r="H2072" s="19"/>
      <c r="I2072" s="12"/>
      <c r="J2072" s="16"/>
    </row>
    <row r="2073" ht="15.75" customHeight="1">
      <c r="D2073" s="18"/>
      <c r="H2073" s="19"/>
      <c r="J2073" s="13"/>
    </row>
    <row r="2074" ht="15.75" customHeight="1">
      <c r="D2074" s="18"/>
      <c r="H2074" s="19"/>
      <c r="J2074" s="13"/>
    </row>
    <row r="2075" ht="15.75" customHeight="1">
      <c r="D2075" s="18"/>
      <c r="H2075" s="19"/>
      <c r="J2075" s="13"/>
    </row>
    <row r="2076" ht="15.75" customHeight="1">
      <c r="D2076" s="18"/>
      <c r="J2076" s="16"/>
    </row>
    <row r="2077" ht="15.75" customHeight="1">
      <c r="D2077" s="18"/>
      <c r="H2077" s="19"/>
      <c r="J2077" s="13"/>
    </row>
    <row r="2078" ht="15.75" customHeight="1">
      <c r="D2078" s="18"/>
      <c r="H2078" s="19"/>
      <c r="J2078" s="16"/>
    </row>
    <row r="2079" ht="15.75" customHeight="1">
      <c r="D2079" s="18"/>
      <c r="H2079" s="19"/>
      <c r="J2079" s="16"/>
    </row>
    <row r="2080" ht="15.75" customHeight="1">
      <c r="D2080" s="18"/>
      <c r="H2080" s="19"/>
      <c r="J2080" s="13"/>
    </row>
    <row r="2081" ht="15.75" customHeight="1">
      <c r="D2081" s="18"/>
      <c r="J2081" s="16"/>
    </row>
    <row r="2082" ht="15.75" customHeight="1">
      <c r="D2082" s="18"/>
      <c r="H2082" s="19"/>
      <c r="J2082" s="16"/>
    </row>
    <row r="2083" ht="15.75" customHeight="1">
      <c r="D2083" s="18"/>
      <c r="J2083" s="16"/>
    </row>
    <row r="2084" ht="15.75" customHeight="1">
      <c r="D2084" s="18"/>
      <c r="H2084" s="19"/>
      <c r="I2084" s="12"/>
      <c r="J2084" s="16"/>
    </row>
    <row r="2085" ht="15.75" customHeight="1">
      <c r="D2085" s="18"/>
      <c r="H2085" s="19"/>
      <c r="I2085" s="12"/>
      <c r="J2085" s="16"/>
    </row>
    <row r="2086" ht="15.75" customHeight="1">
      <c r="D2086" s="18"/>
      <c r="H2086" s="19"/>
      <c r="I2086" s="12"/>
      <c r="J2086" s="13"/>
    </row>
    <row r="2087" ht="15.75" customHeight="1">
      <c r="D2087" s="18"/>
      <c r="H2087" s="19"/>
      <c r="J2087" s="16"/>
    </row>
    <row r="2088" ht="15.75" customHeight="1">
      <c r="D2088" s="18"/>
      <c r="J2088" s="13"/>
    </row>
    <row r="2089" ht="15.75" customHeight="1">
      <c r="D2089" s="18"/>
      <c r="H2089" s="19"/>
      <c r="I2089" s="12"/>
      <c r="J2089" s="13"/>
    </row>
    <row r="2090" ht="15.75" customHeight="1">
      <c r="D2090" s="18"/>
      <c r="H2090" s="19"/>
      <c r="I2090" s="12"/>
      <c r="J2090" s="13"/>
    </row>
    <row r="2091" ht="15.75" customHeight="1">
      <c r="D2091" s="18"/>
      <c r="H2091" s="19"/>
      <c r="J2091" s="16"/>
    </row>
    <row r="2092" ht="15.75" customHeight="1">
      <c r="D2092" s="18"/>
      <c r="H2092" s="19"/>
      <c r="J2092" s="16"/>
    </row>
    <row r="2093" ht="15.75" customHeight="1">
      <c r="D2093" s="18"/>
      <c r="H2093" s="19"/>
      <c r="J2093" s="16"/>
    </row>
    <row r="2094" ht="15.75" customHeight="1">
      <c r="D2094" s="18"/>
      <c r="H2094" s="19"/>
      <c r="J2094" s="16"/>
    </row>
    <row r="2095" ht="15.75" customHeight="1">
      <c r="A2095" s="20"/>
      <c r="D2095" s="18"/>
      <c r="H2095" s="19"/>
      <c r="J2095" s="16"/>
    </row>
    <row r="2096" ht="15.75" customHeight="1">
      <c r="A2096" s="20"/>
      <c r="D2096" s="18"/>
      <c r="J2096" s="13"/>
    </row>
    <row r="2097" ht="15.75" customHeight="1">
      <c r="A2097" s="20"/>
      <c r="D2097" s="18"/>
      <c r="I2097" s="12"/>
      <c r="J2097" s="13"/>
    </row>
    <row r="2098" ht="15.75" customHeight="1">
      <c r="A2098" s="20"/>
      <c r="D2098" s="18"/>
      <c r="H2098" s="19"/>
      <c r="I2098" s="12"/>
      <c r="J2098" s="16"/>
    </row>
    <row r="2099" ht="15.75" customHeight="1">
      <c r="A2099" s="20"/>
      <c r="D2099" s="18"/>
      <c r="H2099" s="19"/>
      <c r="J2099" s="16"/>
    </row>
    <row r="2100" ht="15.75" customHeight="1">
      <c r="A2100" s="20"/>
      <c r="D2100" s="18"/>
      <c r="H2100" s="19"/>
      <c r="J2100" s="13"/>
    </row>
    <row r="2101" ht="15.75" customHeight="1">
      <c r="D2101" s="18"/>
      <c r="H2101" s="19"/>
      <c r="J2101" s="16"/>
    </row>
    <row r="2102" ht="15.75" customHeight="1">
      <c r="D2102" s="18"/>
      <c r="H2102" s="19"/>
      <c r="J2102" s="16"/>
    </row>
    <row r="2103" ht="15.75" customHeight="1">
      <c r="D2103" s="18"/>
      <c r="H2103" s="19"/>
      <c r="J2103" s="16"/>
    </row>
    <row r="2104" ht="15.75" customHeight="1">
      <c r="D2104" s="18"/>
      <c r="I2104" s="12"/>
      <c r="J2104" s="13"/>
    </row>
    <row r="2105" ht="15.75" customHeight="1">
      <c r="D2105" s="18"/>
      <c r="J2105" s="13"/>
    </row>
    <row r="2106" ht="15.75" customHeight="1">
      <c r="D2106" s="18"/>
      <c r="H2106" s="19"/>
      <c r="J2106" s="13"/>
    </row>
    <row r="2107" ht="15.75" customHeight="1">
      <c r="D2107" s="18"/>
      <c r="H2107" s="19"/>
      <c r="I2107" s="12"/>
      <c r="J2107" s="13"/>
    </row>
    <row r="2108" ht="15.75" customHeight="1">
      <c r="D2108" s="18"/>
      <c r="I2108" s="12"/>
      <c r="J2108" s="13"/>
    </row>
    <row r="2109" ht="15.75" customHeight="1">
      <c r="D2109" s="18"/>
      <c r="H2109" s="19"/>
      <c r="J2109" s="16"/>
    </row>
    <row r="2110" ht="15.75" customHeight="1">
      <c r="D2110" s="18"/>
      <c r="J2110" s="13"/>
    </row>
    <row r="2111" ht="15.75" customHeight="1">
      <c r="D2111" s="18"/>
      <c r="J2111" s="13"/>
    </row>
    <row r="2112" ht="15.75" customHeight="1">
      <c r="D2112" s="18"/>
      <c r="I2112" s="12"/>
      <c r="J2112" s="13"/>
    </row>
    <row r="2113" ht="15.75" customHeight="1">
      <c r="D2113" s="18"/>
      <c r="I2113" s="12"/>
      <c r="J2113" s="13"/>
    </row>
    <row r="2114" ht="15.75" customHeight="1">
      <c r="A2114" s="20"/>
      <c r="D2114" s="18"/>
      <c r="H2114" s="19"/>
      <c r="I2114" s="12"/>
      <c r="J2114" s="16"/>
    </row>
    <row r="2115" ht="15.75" customHeight="1">
      <c r="D2115" s="18"/>
      <c r="I2115" s="12"/>
      <c r="J2115" s="13"/>
    </row>
    <row r="2116" ht="15.75" customHeight="1">
      <c r="D2116" s="18"/>
      <c r="I2116" s="12"/>
      <c r="J2116" s="16"/>
    </row>
    <row r="2117" ht="15.75" customHeight="1">
      <c r="D2117" s="18"/>
      <c r="I2117" s="12"/>
      <c r="J2117" s="16"/>
    </row>
    <row r="2118" ht="15.75" customHeight="1">
      <c r="A2118" s="20"/>
      <c r="D2118" s="18"/>
      <c r="I2118" s="12"/>
      <c r="J2118" s="16"/>
    </row>
    <row r="2119" ht="15.75" customHeight="1">
      <c r="D2119" s="18"/>
      <c r="H2119" s="19"/>
      <c r="I2119" s="12"/>
      <c r="J2119" s="16"/>
    </row>
    <row r="2120" ht="15.75" customHeight="1">
      <c r="D2120" s="18"/>
      <c r="H2120" s="19"/>
      <c r="I2120" s="12"/>
      <c r="J2120" s="16"/>
    </row>
    <row r="2121" ht="15.75" customHeight="1">
      <c r="D2121" s="18"/>
      <c r="J2121" s="13"/>
    </row>
    <row r="2122" ht="15.75" customHeight="1">
      <c r="A2122" s="20"/>
      <c r="D2122" s="18"/>
      <c r="H2122" s="19"/>
      <c r="J2122" s="13"/>
    </row>
    <row r="2123" ht="15.75" customHeight="1">
      <c r="A2123" s="20"/>
      <c r="D2123" s="18"/>
      <c r="J2123" s="13"/>
    </row>
    <row r="2124" ht="15.75" customHeight="1">
      <c r="A2124" s="20"/>
      <c r="D2124" s="18"/>
      <c r="J2124" s="16"/>
    </row>
    <row r="2125" ht="15.75" customHeight="1">
      <c r="A2125" s="20"/>
      <c r="D2125" s="18"/>
      <c r="H2125" s="19"/>
      <c r="J2125" s="16"/>
    </row>
    <row r="2126" ht="15.75" customHeight="1">
      <c r="D2126" s="18"/>
      <c r="J2126" s="13"/>
    </row>
    <row r="2127" ht="15.75" customHeight="1">
      <c r="D2127" s="18"/>
      <c r="H2127" s="19"/>
      <c r="J2127" s="13"/>
    </row>
    <row r="2128" ht="15.75" customHeight="1">
      <c r="D2128" s="18"/>
      <c r="H2128" s="19"/>
      <c r="J2128" s="16"/>
    </row>
    <row r="2129" ht="15.75" customHeight="1">
      <c r="D2129" s="18"/>
      <c r="J2129" s="13"/>
    </row>
    <row r="2130" ht="15.75" customHeight="1">
      <c r="D2130" s="18"/>
      <c r="H2130" s="19"/>
      <c r="J2130" s="16"/>
    </row>
    <row r="2131" ht="15.75" customHeight="1">
      <c r="D2131" s="18"/>
      <c r="H2131" s="19"/>
      <c r="J2131" s="16"/>
    </row>
    <row r="2132" ht="15.75" customHeight="1">
      <c r="D2132" s="18"/>
      <c r="H2132" s="19"/>
      <c r="J2132" s="13"/>
    </row>
    <row r="2133" ht="15.75" customHeight="1">
      <c r="D2133" s="18"/>
      <c r="H2133" s="19"/>
      <c r="I2133" s="12"/>
      <c r="J2133" s="13"/>
    </row>
    <row r="2134" ht="15.75" customHeight="1">
      <c r="D2134" s="18"/>
      <c r="J2134" s="13"/>
    </row>
    <row r="2135" ht="15.75" customHeight="1">
      <c r="D2135" s="18"/>
      <c r="J2135" s="13"/>
    </row>
    <row r="2136" ht="15.75" customHeight="1">
      <c r="D2136" s="18"/>
      <c r="H2136" s="19"/>
      <c r="J2136" s="16"/>
    </row>
    <row r="2137" ht="15.75" customHeight="1">
      <c r="D2137" s="18"/>
      <c r="H2137" s="19"/>
      <c r="J2137" s="13"/>
    </row>
    <row r="2138" ht="15.75" customHeight="1">
      <c r="D2138" s="18"/>
      <c r="I2138" s="12"/>
      <c r="J2138" s="13"/>
    </row>
    <row r="2139" ht="15.75" customHeight="1">
      <c r="D2139" s="18"/>
      <c r="I2139" s="12"/>
      <c r="J2139" s="13"/>
    </row>
    <row r="2140" ht="15.75" customHeight="1">
      <c r="A2140" s="20"/>
      <c r="D2140" s="18"/>
      <c r="H2140" s="19"/>
      <c r="I2140" s="12"/>
      <c r="J2140" s="16"/>
    </row>
    <row r="2141" ht="15.75" customHeight="1">
      <c r="D2141" s="18"/>
      <c r="I2141" s="12"/>
      <c r="J2141" s="13"/>
    </row>
    <row r="2142" ht="15.75" customHeight="1">
      <c r="D2142" s="18"/>
      <c r="H2142" s="19"/>
      <c r="I2142" s="12"/>
      <c r="J2142" s="13"/>
    </row>
    <row r="2143" ht="15.75" customHeight="1">
      <c r="D2143" s="18"/>
      <c r="H2143" s="19"/>
      <c r="I2143" s="12"/>
      <c r="J2143" s="13"/>
    </row>
    <row r="2144" ht="15.75" customHeight="1">
      <c r="A2144" s="20"/>
      <c r="D2144" s="18"/>
      <c r="J2144" s="16"/>
    </row>
    <row r="2145" ht="15.75" customHeight="1">
      <c r="D2145" s="18"/>
      <c r="H2145" s="19"/>
      <c r="J2145" s="16"/>
    </row>
    <row r="2146" ht="15.75" customHeight="1">
      <c r="D2146" s="18"/>
      <c r="H2146" s="19"/>
      <c r="I2146" s="12"/>
      <c r="J2146" s="16"/>
    </row>
    <row r="2147" ht="15.75" customHeight="1">
      <c r="D2147" s="18"/>
      <c r="H2147" s="19"/>
      <c r="J2147" s="16"/>
    </row>
    <row r="2148" ht="15.75" customHeight="1">
      <c r="D2148" s="18"/>
      <c r="J2148" s="16"/>
    </row>
    <row r="2149" ht="15.75" customHeight="1">
      <c r="D2149" s="18"/>
      <c r="I2149" s="12"/>
      <c r="J2149" s="13"/>
    </row>
    <row r="2150" ht="15.75" customHeight="1">
      <c r="D2150" s="18"/>
      <c r="I2150" s="12"/>
      <c r="J2150" s="13"/>
    </row>
    <row r="2151" ht="15.75" customHeight="1">
      <c r="D2151" s="18"/>
      <c r="H2151" s="19"/>
      <c r="I2151" s="12"/>
      <c r="J2151" s="13"/>
    </row>
    <row r="2152" ht="15.75" customHeight="1">
      <c r="D2152" s="18"/>
      <c r="H2152" s="19"/>
      <c r="I2152" s="12"/>
      <c r="J2152" s="13"/>
    </row>
    <row r="2153" ht="15.75" customHeight="1">
      <c r="D2153" s="18"/>
      <c r="H2153" s="19"/>
      <c r="J2153" s="16"/>
    </row>
    <row r="2154" ht="15.75" customHeight="1">
      <c r="D2154" s="18"/>
      <c r="H2154" s="19"/>
      <c r="J2154" s="13"/>
    </row>
    <row r="2155" ht="15.75" customHeight="1">
      <c r="D2155" s="18"/>
      <c r="I2155" s="12"/>
      <c r="J2155" s="13"/>
    </row>
    <row r="2156" ht="15.75" customHeight="1">
      <c r="A2156" s="20"/>
      <c r="D2156" s="18"/>
      <c r="H2156" s="19"/>
      <c r="I2156" s="12"/>
      <c r="J2156" s="16"/>
    </row>
    <row r="2157" ht="15.75" customHeight="1">
      <c r="A2157" s="20"/>
      <c r="D2157" s="18"/>
      <c r="H2157" s="19"/>
      <c r="I2157" s="12"/>
      <c r="J2157" s="16"/>
    </row>
    <row r="2158" ht="15.75" customHeight="1">
      <c r="D2158" s="18"/>
      <c r="H2158" s="19"/>
      <c r="I2158" s="12"/>
      <c r="J2158" s="13"/>
    </row>
    <row r="2159" ht="15.75" customHeight="1">
      <c r="D2159" s="18"/>
      <c r="I2159" s="12"/>
      <c r="J2159" s="13"/>
    </row>
    <row r="2160" ht="15.75" customHeight="1">
      <c r="A2160" s="20"/>
      <c r="D2160" s="18"/>
      <c r="H2160" s="19"/>
      <c r="J2160" s="13"/>
    </row>
    <row r="2161" ht="15.75" customHeight="1">
      <c r="D2161" s="18"/>
      <c r="J2161" s="13"/>
    </row>
    <row r="2162" ht="15.75" customHeight="1">
      <c r="D2162" s="18"/>
      <c r="H2162" s="19"/>
      <c r="J2162" s="13"/>
    </row>
    <row r="2163" ht="15.75" customHeight="1">
      <c r="D2163" s="18"/>
      <c r="H2163" s="19"/>
      <c r="J2163" s="16"/>
    </row>
    <row r="2164" ht="15.75" customHeight="1">
      <c r="D2164" s="18"/>
      <c r="H2164" s="19"/>
      <c r="J2164" s="13"/>
    </row>
    <row r="2165" ht="15.75" customHeight="1">
      <c r="D2165" s="18"/>
      <c r="H2165" s="19"/>
      <c r="J2165" s="13"/>
    </row>
    <row r="2166" ht="15.75" customHeight="1">
      <c r="D2166" s="18"/>
      <c r="J2166" s="16"/>
    </row>
    <row r="2167" ht="15.75" customHeight="1">
      <c r="D2167" s="18"/>
      <c r="H2167" s="19"/>
      <c r="J2167" s="16"/>
    </row>
    <row r="2168" ht="15.75" customHeight="1">
      <c r="D2168" s="18"/>
      <c r="J2168" s="13"/>
    </row>
    <row r="2169" ht="15.75" customHeight="1">
      <c r="A2169" s="20"/>
      <c r="D2169" s="18"/>
      <c r="H2169" s="19"/>
      <c r="J2169" s="13"/>
    </row>
    <row r="2170" ht="15.75" customHeight="1">
      <c r="D2170" s="18"/>
      <c r="H2170" s="19"/>
      <c r="J2170" s="16"/>
    </row>
    <row r="2171" ht="15.75" customHeight="1">
      <c r="D2171" s="18"/>
      <c r="H2171" s="19"/>
      <c r="J2171" s="16"/>
    </row>
    <row r="2172" ht="15.75" customHeight="1">
      <c r="A2172" s="20"/>
      <c r="D2172" s="18"/>
      <c r="H2172" s="19"/>
      <c r="I2172" s="12"/>
      <c r="J2172" s="13"/>
    </row>
    <row r="2173" ht="15.75" customHeight="1">
      <c r="D2173" s="18"/>
      <c r="H2173" s="19"/>
      <c r="J2173" s="16"/>
    </row>
    <row r="2174" ht="15.75" customHeight="1">
      <c r="D2174" s="18"/>
      <c r="H2174" s="19"/>
      <c r="J2174" s="16"/>
    </row>
    <row r="2175" ht="15.75" customHeight="1">
      <c r="D2175" s="18"/>
      <c r="J2175" s="13"/>
    </row>
    <row r="2176" ht="15.75" customHeight="1">
      <c r="D2176" s="18"/>
      <c r="H2176" s="19"/>
      <c r="J2176" s="16"/>
    </row>
    <row r="2177" ht="15.75" customHeight="1">
      <c r="D2177" s="18"/>
      <c r="H2177" s="19"/>
      <c r="J2177" s="13"/>
    </row>
    <row r="2178" ht="15.75" customHeight="1">
      <c r="A2178" s="20"/>
      <c r="D2178" s="18"/>
      <c r="H2178" s="19"/>
      <c r="J2178" s="16"/>
    </row>
    <row r="2179" ht="15.75" customHeight="1">
      <c r="D2179" s="18"/>
      <c r="H2179" s="19"/>
      <c r="J2179" s="16"/>
    </row>
    <row r="2180" ht="15.75" customHeight="1">
      <c r="D2180" s="18"/>
      <c r="H2180" s="19"/>
      <c r="J2180" s="16"/>
    </row>
    <row r="2181" ht="15.75" customHeight="1">
      <c r="D2181" s="18"/>
      <c r="H2181" s="19"/>
      <c r="J2181" s="16"/>
    </row>
    <row r="2182" ht="15.75" customHeight="1">
      <c r="D2182" s="18"/>
      <c r="H2182" s="19"/>
      <c r="J2182" s="13"/>
    </row>
    <row r="2183" ht="15.75" customHeight="1">
      <c r="D2183" s="18"/>
      <c r="H2183" s="19"/>
      <c r="J2183" s="13"/>
    </row>
    <row r="2184" ht="15.75" customHeight="1">
      <c r="D2184" s="18"/>
      <c r="J2184" s="16"/>
    </row>
    <row r="2185" ht="15.75" customHeight="1">
      <c r="A2185" s="20"/>
      <c r="D2185" s="18"/>
      <c r="H2185" s="19"/>
      <c r="J2185" s="16"/>
    </row>
    <row r="2186" ht="15.75" customHeight="1">
      <c r="A2186" s="20"/>
      <c r="D2186" s="18"/>
      <c r="H2186" s="19"/>
      <c r="J2186" s="16"/>
    </row>
    <row r="2187" ht="15.75" customHeight="1">
      <c r="D2187" s="18"/>
      <c r="H2187" s="19"/>
      <c r="J2187" s="16"/>
    </row>
    <row r="2188" ht="15.75" customHeight="1">
      <c r="D2188" s="18"/>
      <c r="H2188" s="19"/>
      <c r="J2188" s="13"/>
    </row>
    <row r="2189" ht="15.75" customHeight="1">
      <c r="D2189" s="18"/>
      <c r="H2189" s="19"/>
      <c r="J2189" s="13"/>
    </row>
    <row r="2190" ht="15.75" customHeight="1">
      <c r="D2190" s="18"/>
      <c r="I2190" s="12"/>
      <c r="J2190" s="13"/>
    </row>
    <row r="2191" ht="15.75" customHeight="1">
      <c r="D2191" s="18"/>
      <c r="J2191" s="13"/>
    </row>
    <row r="2192" ht="15.75" customHeight="1">
      <c r="D2192" s="18"/>
      <c r="H2192" s="19"/>
      <c r="J2192" s="16"/>
    </row>
    <row r="2193" ht="15.75" customHeight="1">
      <c r="D2193" s="18"/>
      <c r="J2193" s="13"/>
    </row>
    <row r="2194" ht="15.75" customHeight="1">
      <c r="A2194" s="20"/>
      <c r="D2194" s="18"/>
      <c r="H2194" s="19"/>
      <c r="J2194" s="16"/>
    </row>
    <row r="2195" ht="15.75" customHeight="1">
      <c r="A2195" s="20"/>
      <c r="D2195" s="18"/>
      <c r="I2195" s="12"/>
      <c r="J2195" s="13"/>
    </row>
    <row r="2196" ht="15.75" customHeight="1">
      <c r="D2196" s="18"/>
      <c r="J2196" s="13"/>
    </row>
    <row r="2197" ht="15.75" customHeight="1">
      <c r="D2197" s="18"/>
      <c r="H2197" s="19"/>
      <c r="J2197" s="16"/>
    </row>
    <row r="2198" ht="15.75" customHeight="1">
      <c r="D2198" s="18"/>
      <c r="H2198" s="19"/>
      <c r="J2198" s="13"/>
    </row>
    <row r="2199" ht="15.75" customHeight="1">
      <c r="D2199" s="18"/>
      <c r="J2199" s="16"/>
    </row>
    <row r="2200" ht="15.75" customHeight="1">
      <c r="D2200" s="18"/>
      <c r="H2200" s="19"/>
      <c r="I2200" s="12"/>
      <c r="J2200" s="16"/>
    </row>
    <row r="2201" ht="15.75" customHeight="1">
      <c r="A2201" s="20"/>
      <c r="D2201" s="18"/>
      <c r="I2201" s="12"/>
      <c r="J2201" s="13"/>
    </row>
    <row r="2202" ht="15.75" customHeight="1">
      <c r="A2202" s="20"/>
      <c r="D2202" s="18"/>
      <c r="I2202" s="12"/>
      <c r="J2202" s="13"/>
    </row>
    <row r="2203" ht="15.75" customHeight="1">
      <c r="A2203" s="20"/>
      <c r="D2203" s="18"/>
      <c r="I2203" s="12"/>
      <c r="J2203" s="16"/>
    </row>
    <row r="2204" ht="15.75" customHeight="1">
      <c r="D2204" s="18"/>
      <c r="H2204" s="19"/>
      <c r="I2204" s="12"/>
      <c r="J2204" s="13"/>
    </row>
    <row r="2205" ht="15.75" customHeight="1">
      <c r="A2205" s="20"/>
      <c r="D2205" s="18"/>
      <c r="H2205" s="19"/>
      <c r="I2205" s="12"/>
      <c r="J2205" s="16"/>
    </row>
    <row r="2206" ht="15.75" customHeight="1">
      <c r="A2206" s="20"/>
      <c r="D2206" s="18"/>
      <c r="H2206" s="19"/>
      <c r="I2206" s="12"/>
      <c r="J2206" s="16"/>
    </row>
    <row r="2207" ht="15.75" customHeight="1">
      <c r="A2207" s="20"/>
      <c r="D2207" s="18"/>
      <c r="H2207" s="19"/>
      <c r="J2207" s="16"/>
    </row>
    <row r="2208" ht="15.75" customHeight="1">
      <c r="D2208" s="18"/>
      <c r="H2208" s="19"/>
      <c r="J2208" s="16"/>
    </row>
    <row r="2209" ht="15.75" customHeight="1">
      <c r="D2209" s="18"/>
      <c r="H2209" s="19"/>
      <c r="J2209" s="13"/>
    </row>
    <row r="2210" ht="15.75" customHeight="1">
      <c r="A2210" s="14"/>
      <c r="I2210" s="12"/>
      <c r="J2210" s="16"/>
    </row>
    <row r="2211" ht="15.75" customHeight="1">
      <c r="A2211" s="14"/>
      <c r="I2211" s="12"/>
      <c r="J2211" s="16"/>
    </row>
    <row r="2212" ht="15.75" customHeight="1">
      <c r="A2212" s="14"/>
      <c r="B2212" s="3"/>
      <c r="C2212" s="3"/>
      <c r="D2212" s="3"/>
      <c r="E2212" s="3"/>
      <c r="F2212" s="3"/>
      <c r="G2212" s="3"/>
      <c r="H2212" s="3"/>
      <c r="I2212" s="12"/>
      <c r="J2212" s="16"/>
    </row>
    <row r="2213" ht="15.75" customHeight="1">
      <c r="A2213" s="14"/>
      <c r="D2213" s="18"/>
      <c r="I2213" s="12"/>
      <c r="J2213" s="16"/>
    </row>
    <row r="2214" ht="15.75" customHeight="1">
      <c r="A2214" s="14"/>
      <c r="D2214" s="18"/>
      <c r="I2214" s="12"/>
      <c r="J2214" s="16"/>
    </row>
    <row r="2215" ht="15.75" customHeight="1">
      <c r="A2215" s="14"/>
      <c r="I2215" s="12"/>
      <c r="J2215" s="16"/>
    </row>
    <row r="2216" ht="15.75" customHeight="1">
      <c r="A2216" s="14"/>
      <c r="D2216" s="18"/>
      <c r="I2216" s="12"/>
      <c r="J2216" s="16"/>
    </row>
    <row r="2217" ht="15.75" customHeight="1">
      <c r="A2217" s="14"/>
      <c r="D2217" s="18"/>
      <c r="I2217" s="12"/>
      <c r="J2217" s="16"/>
    </row>
    <row r="2218" ht="15.75" customHeight="1">
      <c r="A2218" s="14"/>
      <c r="D2218" s="18"/>
      <c r="I2218" s="12"/>
      <c r="J2218" s="16"/>
    </row>
    <row r="2219" ht="15.75" customHeight="1">
      <c r="A2219" s="14"/>
      <c r="D2219" s="18"/>
      <c r="I2219" s="12"/>
      <c r="J2219" s="16"/>
    </row>
    <row r="2220" ht="15.75" customHeight="1">
      <c r="A2220" s="14"/>
      <c r="D2220" s="18"/>
      <c r="I2220" s="12"/>
      <c r="J2220" s="16"/>
    </row>
    <row r="2221" ht="15.75" customHeight="1">
      <c r="A2221" s="14"/>
      <c r="D2221" s="18"/>
      <c r="I2221" s="12"/>
      <c r="J2221" s="16"/>
    </row>
    <row r="2222" ht="15.75" customHeight="1">
      <c r="A2222" s="14"/>
      <c r="D2222" s="18"/>
      <c r="I2222" s="12"/>
      <c r="J2222" s="16"/>
    </row>
    <row r="2223" ht="15.75" customHeight="1">
      <c r="A2223" s="14"/>
      <c r="D2223" s="18"/>
      <c r="I2223" s="12"/>
      <c r="J2223" s="16"/>
    </row>
    <row r="2224" ht="15.75" customHeight="1">
      <c r="A2224" s="14"/>
      <c r="D2224" s="18"/>
      <c r="I2224" s="12"/>
      <c r="J2224" s="16"/>
    </row>
    <row r="2225" ht="15.75" customHeight="1">
      <c r="A2225" s="14"/>
      <c r="D2225" s="18"/>
      <c r="I2225" s="12"/>
      <c r="J2225" s="16"/>
    </row>
    <row r="2226" ht="15.75" customHeight="1">
      <c r="A2226" s="14"/>
      <c r="D2226" s="18"/>
      <c r="I2226" s="12"/>
      <c r="J2226" s="16"/>
    </row>
    <row r="2227" ht="15.75" customHeight="1">
      <c r="A2227" s="14"/>
      <c r="D2227" s="18"/>
      <c r="I2227" s="12"/>
      <c r="J2227" s="16"/>
    </row>
    <row r="2228" ht="15.75" customHeight="1">
      <c r="A2228" s="14"/>
      <c r="D2228" s="18"/>
      <c r="I2228" s="12"/>
      <c r="J2228" s="16"/>
    </row>
    <row r="2229" ht="15.75" customHeight="1">
      <c r="A2229" s="14"/>
      <c r="D2229" s="18"/>
      <c r="I2229" s="12"/>
      <c r="J2229" s="16"/>
    </row>
    <row r="2230" ht="15.75" customHeight="1">
      <c r="A2230" s="14"/>
      <c r="D2230" s="18"/>
      <c r="I2230" s="12"/>
      <c r="J2230" s="16"/>
    </row>
    <row r="2231" ht="15.75" customHeight="1">
      <c r="A2231" s="14"/>
      <c r="D2231" s="18"/>
      <c r="I2231" s="12"/>
      <c r="J2231" s="16"/>
    </row>
    <row r="2232" ht="15.75" customHeight="1">
      <c r="A2232" s="14"/>
      <c r="D2232" s="18"/>
      <c r="I2232" s="12"/>
      <c r="J2232" s="16"/>
    </row>
    <row r="2233" ht="15.75" customHeight="1">
      <c r="A2233" s="14"/>
      <c r="D2233" s="18"/>
      <c r="I2233" s="12"/>
      <c r="J2233" s="16"/>
    </row>
    <row r="2234" ht="15.75" customHeight="1">
      <c r="A2234" s="14"/>
      <c r="D2234" s="18"/>
      <c r="I2234" s="12"/>
      <c r="J2234" s="16"/>
    </row>
    <row r="2235" ht="15.75" customHeight="1">
      <c r="A2235" s="14"/>
      <c r="D2235" s="18"/>
      <c r="I2235" s="12"/>
      <c r="J2235" s="16"/>
    </row>
    <row r="2236" ht="15.75" customHeight="1">
      <c r="A2236" s="14"/>
      <c r="D2236" s="18"/>
      <c r="I2236" s="12"/>
      <c r="J2236" s="16"/>
    </row>
    <row r="2237" ht="15.75" customHeight="1">
      <c r="A2237" s="14"/>
      <c r="D2237" s="18"/>
      <c r="I2237" s="12"/>
      <c r="J2237" s="16"/>
    </row>
    <row r="2238" ht="15.75" customHeight="1">
      <c r="A2238" s="14"/>
      <c r="D2238" s="18"/>
      <c r="I2238" s="12"/>
      <c r="J2238" s="16"/>
    </row>
    <row r="2239" ht="15.75" customHeight="1">
      <c r="A2239" s="14"/>
      <c r="D2239" s="18"/>
      <c r="I2239" s="12"/>
      <c r="J2239" s="16"/>
    </row>
    <row r="2240" ht="15.75" customHeight="1">
      <c r="A2240" s="14"/>
      <c r="D2240" s="18"/>
      <c r="I2240" s="12"/>
      <c r="J2240" s="16"/>
    </row>
    <row r="2241" ht="15.75" customHeight="1">
      <c r="A2241" s="14"/>
      <c r="D2241" s="18"/>
      <c r="I2241" s="12"/>
      <c r="J2241" s="16"/>
    </row>
    <row r="2242" ht="15.75" customHeight="1">
      <c r="A2242" s="14"/>
      <c r="D2242" s="18"/>
      <c r="I2242" s="12"/>
      <c r="J2242" s="16"/>
    </row>
    <row r="2243" ht="15.75" customHeight="1">
      <c r="A2243" s="14"/>
      <c r="D2243" s="18"/>
      <c r="I2243" s="12"/>
      <c r="J2243" s="16"/>
    </row>
    <row r="2244" ht="15.75" customHeight="1">
      <c r="A2244" s="14"/>
      <c r="D2244" s="18"/>
      <c r="I2244" s="12"/>
      <c r="J2244" s="16"/>
    </row>
    <row r="2245" ht="15.75" customHeight="1">
      <c r="A2245" s="14"/>
      <c r="D2245" s="18"/>
      <c r="I2245" s="12"/>
      <c r="J2245" s="16"/>
    </row>
    <row r="2246" ht="15.75" customHeight="1">
      <c r="A2246" s="14"/>
      <c r="D2246" s="18"/>
      <c r="I2246" s="12"/>
      <c r="J2246" s="16"/>
    </row>
    <row r="2247" ht="15.75" customHeight="1">
      <c r="A2247" s="14"/>
      <c r="D2247" s="18"/>
      <c r="I2247" s="12"/>
      <c r="J2247" s="16"/>
    </row>
    <row r="2248" ht="15.75" customHeight="1">
      <c r="A2248" s="14"/>
      <c r="D2248" s="18"/>
      <c r="I2248" s="12"/>
      <c r="J2248" s="16"/>
    </row>
    <row r="2249" ht="15.75" customHeight="1">
      <c r="A2249" s="14"/>
      <c r="D2249" s="18"/>
      <c r="I2249" s="12"/>
      <c r="J2249" s="16"/>
    </row>
    <row r="2250" ht="15.75" customHeight="1">
      <c r="A2250" s="14"/>
      <c r="D2250" s="18"/>
      <c r="I2250" s="12"/>
      <c r="J2250" s="16"/>
    </row>
    <row r="2251" ht="15.75" customHeight="1">
      <c r="A2251" s="14"/>
      <c r="D2251" s="18"/>
      <c r="I2251" s="12"/>
      <c r="J2251" s="16"/>
    </row>
    <row r="2252" ht="15.75" customHeight="1">
      <c r="A2252" s="14"/>
      <c r="D2252" s="18"/>
      <c r="I2252" s="12"/>
      <c r="J2252" s="16"/>
    </row>
    <row r="2253" ht="15.75" customHeight="1">
      <c r="A2253" s="14"/>
      <c r="D2253" s="18"/>
      <c r="I2253" s="12"/>
      <c r="J2253" s="16"/>
    </row>
    <row r="2254" ht="15.75" customHeight="1">
      <c r="A2254" s="14"/>
      <c r="D2254" s="18"/>
      <c r="I2254" s="12"/>
      <c r="J2254" s="16"/>
    </row>
    <row r="2255" ht="15.75" customHeight="1">
      <c r="A2255" s="14"/>
      <c r="D2255" s="18"/>
      <c r="I2255" s="12"/>
      <c r="J2255" s="16"/>
    </row>
    <row r="2256" ht="15.75" customHeight="1">
      <c r="A2256" s="14"/>
      <c r="D2256" s="18"/>
      <c r="I2256" s="12"/>
      <c r="J2256" s="16"/>
    </row>
    <row r="2257" ht="15.75" customHeight="1">
      <c r="A2257" s="14"/>
      <c r="D2257" s="18"/>
      <c r="I2257" s="12"/>
      <c r="J2257" s="16"/>
    </row>
    <row r="2258" ht="15.75" customHeight="1">
      <c r="A2258" s="14"/>
      <c r="I2258" s="12"/>
      <c r="J2258" s="16"/>
    </row>
    <row r="2259" ht="15.75" customHeight="1">
      <c r="A2259" s="14"/>
      <c r="I2259" s="12"/>
      <c r="J2259" s="16"/>
    </row>
    <row r="2260" ht="15.75" customHeight="1">
      <c r="A2260" s="14"/>
      <c r="I2260" s="12"/>
      <c r="J2260" s="16"/>
    </row>
    <row r="2261" ht="15.75" customHeight="1">
      <c r="A2261" s="14"/>
      <c r="D2261" s="18"/>
      <c r="I2261" s="12"/>
      <c r="J2261" s="16"/>
    </row>
    <row r="2262" ht="15.75" customHeight="1">
      <c r="A2262" s="14"/>
      <c r="D2262" s="18"/>
      <c r="I2262" s="12"/>
      <c r="J2262" s="16"/>
    </row>
    <row r="2263" ht="15.75" customHeight="1">
      <c r="A2263" s="14"/>
      <c r="D2263" s="18"/>
      <c r="I2263" s="12"/>
      <c r="J2263" s="16"/>
    </row>
    <row r="2264" ht="15.75" customHeight="1">
      <c r="A2264" s="14"/>
      <c r="D2264" s="18"/>
      <c r="I2264" s="12"/>
      <c r="J2264" s="16"/>
    </row>
    <row r="2265" ht="15.75" customHeight="1">
      <c r="A2265" s="14"/>
      <c r="D2265" s="18"/>
      <c r="I2265" s="12"/>
      <c r="J2265" s="16"/>
    </row>
    <row r="2266" ht="15.75" customHeight="1">
      <c r="A2266" s="14"/>
      <c r="D2266" s="18"/>
      <c r="I2266" s="12"/>
      <c r="J2266" s="16"/>
    </row>
    <row r="2267" ht="15.75" customHeight="1">
      <c r="A2267" s="14"/>
      <c r="D2267" s="18"/>
      <c r="I2267" s="12"/>
      <c r="J2267" s="16"/>
    </row>
    <row r="2268" ht="15.75" customHeight="1">
      <c r="A2268" s="14"/>
      <c r="D2268" s="18"/>
      <c r="I2268" s="12"/>
      <c r="J2268" s="16"/>
    </row>
    <row r="2269" ht="15.75" customHeight="1">
      <c r="A2269" s="14"/>
      <c r="D2269" s="18"/>
      <c r="I2269" s="12"/>
      <c r="J2269" s="16"/>
    </row>
    <row r="2270" ht="15.75" customHeight="1">
      <c r="A2270" s="14"/>
      <c r="D2270" s="18"/>
      <c r="I2270" s="12"/>
      <c r="J2270" s="16"/>
    </row>
    <row r="2271" ht="15.75" customHeight="1">
      <c r="A2271" s="14"/>
      <c r="D2271" s="18"/>
      <c r="I2271" s="12"/>
      <c r="J2271" s="16"/>
    </row>
    <row r="2272" ht="15.75" customHeight="1">
      <c r="A2272" s="14"/>
      <c r="D2272" s="18"/>
      <c r="I2272" s="12"/>
      <c r="J2272" s="16"/>
    </row>
    <row r="2273" ht="15.75" customHeight="1">
      <c r="A2273" s="14"/>
      <c r="D2273" s="18"/>
      <c r="I2273" s="12"/>
      <c r="J2273" s="16"/>
    </row>
    <row r="2274" ht="15.75" customHeight="1">
      <c r="A2274" s="14"/>
      <c r="D2274" s="18"/>
      <c r="I2274" s="12"/>
      <c r="J2274" s="16"/>
    </row>
    <row r="2275" ht="15.75" customHeight="1">
      <c r="A2275" s="14"/>
      <c r="D2275" s="18"/>
      <c r="I2275" s="12"/>
      <c r="J2275" s="16"/>
    </row>
    <row r="2276" ht="15.75" customHeight="1">
      <c r="A2276" s="14"/>
      <c r="D2276" s="18"/>
      <c r="I2276" s="12"/>
      <c r="J2276" s="16"/>
    </row>
    <row r="2277" ht="15.75" customHeight="1">
      <c r="A2277" s="14"/>
      <c r="D2277" s="18"/>
      <c r="I2277" s="12"/>
      <c r="J2277" s="16"/>
    </row>
    <row r="2278" ht="15.75" customHeight="1">
      <c r="A2278" s="14"/>
      <c r="D2278" s="18"/>
      <c r="I2278" s="12"/>
      <c r="J2278" s="16"/>
    </row>
    <row r="2279" ht="15.75" customHeight="1">
      <c r="A2279" s="14"/>
      <c r="D2279" s="18"/>
      <c r="I2279" s="12"/>
      <c r="J2279" s="16"/>
    </row>
    <row r="2280" ht="15.75" customHeight="1">
      <c r="A2280" s="14"/>
      <c r="D2280" s="18"/>
      <c r="I2280" s="12"/>
      <c r="J2280" s="16"/>
    </row>
    <row r="2281" ht="15.75" customHeight="1">
      <c r="A2281" s="14"/>
      <c r="D2281" s="18"/>
      <c r="I2281" s="12"/>
      <c r="J2281" s="16"/>
    </row>
    <row r="2282" ht="15.75" customHeight="1">
      <c r="A2282" s="14"/>
      <c r="D2282" s="18"/>
      <c r="I2282" s="12"/>
      <c r="J2282" s="16"/>
    </row>
    <row r="2283" ht="15.75" customHeight="1">
      <c r="A2283" s="14"/>
      <c r="D2283" s="18"/>
      <c r="I2283" s="12"/>
      <c r="J2283" s="16"/>
    </row>
    <row r="2284" ht="15.75" customHeight="1">
      <c r="A2284" s="14"/>
      <c r="D2284" s="18"/>
      <c r="I2284" s="12"/>
      <c r="J2284" s="16"/>
    </row>
    <row r="2285" ht="15.75" customHeight="1">
      <c r="A2285" s="14"/>
      <c r="D2285" s="18"/>
      <c r="I2285" s="12"/>
      <c r="J2285" s="16"/>
    </row>
    <row r="2286" ht="15.75" customHeight="1">
      <c r="A2286" s="14"/>
      <c r="D2286" s="18"/>
      <c r="I2286" s="12"/>
      <c r="J2286" s="16"/>
    </row>
    <row r="2287" ht="15.75" customHeight="1">
      <c r="A2287" s="14"/>
      <c r="D2287" s="18"/>
      <c r="I2287" s="12"/>
      <c r="J2287" s="16"/>
    </row>
    <row r="2288" ht="15.75" customHeight="1">
      <c r="A2288" s="14"/>
      <c r="I2288" s="12"/>
      <c r="J2288" s="16"/>
    </row>
    <row r="2289" ht="15.75" customHeight="1">
      <c r="A2289" s="14"/>
      <c r="D2289" s="18"/>
      <c r="I2289" s="12"/>
      <c r="J2289" s="16"/>
    </row>
    <row r="2290" ht="15.75" customHeight="1">
      <c r="A2290" s="14"/>
      <c r="D2290" s="18"/>
      <c r="I2290" s="12"/>
      <c r="J2290" s="16"/>
    </row>
    <row r="2291" ht="15.75" customHeight="1">
      <c r="A2291" s="14"/>
      <c r="D2291" s="18"/>
      <c r="I2291" s="12"/>
      <c r="J2291" s="16"/>
    </row>
    <row r="2292" ht="15.75" customHeight="1">
      <c r="A2292" s="14"/>
      <c r="D2292" s="18"/>
      <c r="I2292" s="12"/>
      <c r="J2292" s="16"/>
    </row>
    <row r="2293" ht="15.75" customHeight="1">
      <c r="A2293" s="14"/>
      <c r="D2293" s="18"/>
      <c r="I2293" s="12"/>
      <c r="J2293" s="16"/>
    </row>
    <row r="2294" ht="15.75" customHeight="1">
      <c r="A2294" s="14"/>
      <c r="D2294" s="18"/>
      <c r="I2294" s="12"/>
      <c r="J2294" s="16"/>
    </row>
    <row r="2295" ht="15.75" customHeight="1">
      <c r="A2295" s="14"/>
      <c r="D2295" s="18"/>
      <c r="I2295" s="12"/>
      <c r="J2295" s="16"/>
    </row>
    <row r="2296" ht="15.75" customHeight="1">
      <c r="A2296" s="14"/>
      <c r="D2296" s="18"/>
      <c r="I2296" s="12"/>
      <c r="J2296" s="16"/>
    </row>
    <row r="2297" ht="15.75" customHeight="1">
      <c r="A2297" s="14"/>
      <c r="D2297" s="18"/>
      <c r="I2297" s="12"/>
      <c r="J2297" s="16"/>
    </row>
    <row r="2298" ht="15.75" customHeight="1">
      <c r="A2298" s="14"/>
      <c r="D2298" s="18"/>
      <c r="I2298" s="12"/>
      <c r="J2298" s="16"/>
    </row>
    <row r="2299" ht="15.75" customHeight="1">
      <c r="A2299" s="14"/>
      <c r="I2299" s="12"/>
      <c r="J2299" s="16"/>
    </row>
    <row r="2300" ht="15.75" customHeight="1">
      <c r="A2300" s="14"/>
      <c r="D2300" s="18"/>
      <c r="I2300" s="12"/>
      <c r="J2300" s="16"/>
    </row>
    <row r="2301" ht="15.75" customHeight="1">
      <c r="A2301" s="14"/>
      <c r="D2301" s="18"/>
      <c r="I2301" s="12"/>
      <c r="J2301" s="16"/>
    </row>
    <row r="2302" ht="15.75" customHeight="1">
      <c r="A2302" s="14"/>
      <c r="D2302" s="18"/>
      <c r="I2302" s="12"/>
      <c r="J2302" s="16"/>
    </row>
    <row r="2303" ht="15.75" customHeight="1">
      <c r="A2303" s="14"/>
      <c r="D2303" s="18"/>
      <c r="I2303" s="12"/>
      <c r="J2303" s="16"/>
    </row>
    <row r="2304" ht="15.75" customHeight="1">
      <c r="A2304" s="14"/>
      <c r="D2304" s="18"/>
      <c r="I2304" s="12"/>
      <c r="J2304" s="16"/>
    </row>
    <row r="2305" ht="15.75" customHeight="1">
      <c r="A2305" s="14"/>
      <c r="D2305" s="18"/>
      <c r="I2305" s="12"/>
      <c r="J2305" s="16"/>
    </row>
    <row r="2306" ht="15.75" customHeight="1">
      <c r="A2306" s="14"/>
      <c r="D2306" s="18"/>
      <c r="I2306" s="12"/>
      <c r="J2306" s="16"/>
    </row>
    <row r="2307" ht="15.75" customHeight="1">
      <c r="A2307" s="14"/>
      <c r="D2307" s="18"/>
      <c r="I2307" s="12"/>
      <c r="J2307" s="16"/>
    </row>
    <row r="2308" ht="15.75" customHeight="1">
      <c r="A2308" s="14"/>
      <c r="D2308" s="18"/>
      <c r="I2308" s="12"/>
      <c r="J2308" s="16"/>
    </row>
    <row r="2309" ht="15.75" customHeight="1">
      <c r="A2309" s="14"/>
      <c r="D2309" s="18"/>
      <c r="I2309" s="12"/>
      <c r="J2309" s="16"/>
    </row>
    <row r="2310" ht="15.75" customHeight="1">
      <c r="A2310" s="14"/>
      <c r="D2310" s="18"/>
      <c r="I2310" s="12"/>
      <c r="J2310" s="16"/>
    </row>
    <row r="2311" ht="15.75" customHeight="1">
      <c r="A2311" s="14"/>
      <c r="D2311" s="18"/>
      <c r="I2311" s="12"/>
      <c r="J2311" s="16"/>
    </row>
    <row r="2312" ht="15.75" customHeight="1">
      <c r="A2312" s="14"/>
      <c r="D2312" s="18"/>
      <c r="I2312" s="12"/>
      <c r="J2312" s="16"/>
    </row>
    <row r="2313" ht="15.75" customHeight="1">
      <c r="A2313" s="14"/>
      <c r="D2313" s="18"/>
      <c r="I2313" s="12"/>
      <c r="J2313" s="16"/>
    </row>
    <row r="2314" ht="15.75" customHeight="1">
      <c r="A2314" s="14"/>
      <c r="D2314" s="18"/>
      <c r="I2314" s="12"/>
      <c r="J2314" s="16"/>
    </row>
    <row r="2315" ht="15.75" customHeight="1">
      <c r="A2315" s="14"/>
      <c r="D2315" s="18"/>
      <c r="I2315" s="12"/>
      <c r="J2315" s="16"/>
    </row>
    <row r="2316" ht="15.75" customHeight="1">
      <c r="A2316" s="14"/>
      <c r="D2316" s="18"/>
      <c r="I2316" s="12"/>
      <c r="J2316" s="16"/>
    </row>
    <row r="2317" ht="15.75" customHeight="1">
      <c r="A2317" s="14"/>
      <c r="D2317" s="18"/>
      <c r="I2317" s="12"/>
      <c r="J2317" s="16"/>
    </row>
    <row r="2318" ht="15.75" customHeight="1">
      <c r="A2318" s="14"/>
      <c r="D2318" s="18"/>
      <c r="I2318" s="12"/>
      <c r="J2318" s="16"/>
    </row>
    <row r="2319" ht="15.75" customHeight="1">
      <c r="A2319" s="14"/>
      <c r="D2319" s="18"/>
      <c r="I2319" s="12"/>
      <c r="J2319" s="16"/>
    </row>
    <row r="2320" ht="15.75" customHeight="1">
      <c r="A2320" s="14"/>
      <c r="D2320" s="18"/>
      <c r="I2320" s="12"/>
      <c r="J2320" s="16"/>
    </row>
    <row r="2321" ht="15.75" customHeight="1">
      <c r="A2321" s="14"/>
      <c r="D2321" s="18"/>
      <c r="I2321" s="12"/>
      <c r="J2321" s="16"/>
    </row>
    <row r="2322" ht="15.75" customHeight="1">
      <c r="A2322" s="14"/>
      <c r="D2322" s="18"/>
      <c r="I2322" s="12"/>
      <c r="J2322" s="16"/>
    </row>
    <row r="2323" ht="15.75" customHeight="1">
      <c r="A2323" s="14"/>
      <c r="D2323" s="18"/>
      <c r="I2323" s="12"/>
      <c r="J2323" s="16"/>
    </row>
    <row r="2324" ht="15.75" customHeight="1">
      <c r="A2324" s="14"/>
      <c r="D2324" s="18"/>
      <c r="I2324" s="12"/>
      <c r="J2324" s="16"/>
    </row>
    <row r="2325" ht="15.75" customHeight="1">
      <c r="A2325" s="14"/>
      <c r="D2325" s="18"/>
      <c r="I2325" s="12"/>
      <c r="J2325" s="16"/>
    </row>
    <row r="2326" ht="15.75" customHeight="1">
      <c r="A2326" s="14"/>
      <c r="D2326" s="18"/>
      <c r="I2326" s="12"/>
      <c r="J2326" s="16"/>
    </row>
    <row r="2327" ht="15.75" customHeight="1">
      <c r="A2327" s="14"/>
      <c r="D2327" s="18"/>
      <c r="I2327" s="12"/>
      <c r="J2327" s="16"/>
    </row>
    <row r="2328" ht="15.75" customHeight="1">
      <c r="A2328" s="14"/>
      <c r="D2328" s="18"/>
      <c r="I2328" s="12"/>
      <c r="J2328" s="16"/>
    </row>
    <row r="2329" ht="15.75" customHeight="1">
      <c r="A2329" s="14"/>
      <c r="D2329" s="18"/>
      <c r="I2329" s="12"/>
      <c r="J2329" s="16"/>
    </row>
    <row r="2330" ht="15.75" customHeight="1">
      <c r="A2330" s="14"/>
      <c r="D2330" s="18"/>
      <c r="I2330" s="12"/>
      <c r="J2330" s="16"/>
    </row>
    <row r="2331" ht="15.75" customHeight="1">
      <c r="A2331" s="14"/>
      <c r="D2331" s="18"/>
      <c r="I2331" s="12"/>
      <c r="J2331" s="16"/>
    </row>
    <row r="2332" ht="15.75" customHeight="1">
      <c r="A2332" s="14"/>
      <c r="D2332" s="18"/>
      <c r="I2332" s="12"/>
      <c r="J2332" s="16"/>
    </row>
    <row r="2333" ht="15.75" customHeight="1">
      <c r="A2333" s="14"/>
      <c r="D2333" s="18"/>
      <c r="I2333" s="12"/>
      <c r="J2333" s="16"/>
    </row>
    <row r="2334" ht="15.75" customHeight="1">
      <c r="A2334" s="14"/>
      <c r="D2334" s="18"/>
      <c r="I2334" s="12"/>
      <c r="J2334" s="16"/>
    </row>
    <row r="2335" ht="15.75" customHeight="1">
      <c r="A2335" s="14"/>
      <c r="D2335" s="18"/>
      <c r="I2335" s="12"/>
      <c r="J2335" s="16"/>
    </row>
    <row r="2336" ht="15.75" customHeight="1">
      <c r="A2336" s="14"/>
      <c r="D2336" s="18"/>
      <c r="I2336" s="12"/>
      <c r="J2336" s="16"/>
    </row>
    <row r="2337" ht="15.75" customHeight="1">
      <c r="A2337" s="14"/>
      <c r="D2337" s="18"/>
      <c r="I2337" s="12"/>
      <c r="J2337" s="16"/>
    </row>
    <row r="2338" ht="15.75" customHeight="1">
      <c r="A2338" s="14"/>
      <c r="D2338" s="18"/>
      <c r="I2338" s="12"/>
      <c r="J2338" s="16"/>
    </row>
    <row r="2339" ht="15.75" customHeight="1">
      <c r="A2339" s="14"/>
      <c r="D2339" s="18"/>
      <c r="I2339" s="12"/>
      <c r="J2339" s="16"/>
    </row>
    <row r="2340" ht="15.75" customHeight="1">
      <c r="A2340" s="14"/>
      <c r="D2340" s="18"/>
      <c r="I2340" s="12"/>
      <c r="J2340" s="16"/>
    </row>
    <row r="2341" ht="15.75" customHeight="1">
      <c r="A2341" s="14"/>
      <c r="D2341" s="18"/>
      <c r="I2341" s="12"/>
      <c r="J2341" s="16"/>
    </row>
    <row r="2342" ht="15.75" customHeight="1">
      <c r="A2342" s="14"/>
      <c r="D2342" s="18"/>
      <c r="I2342" s="12"/>
      <c r="J2342" s="16"/>
    </row>
    <row r="2343" ht="15.75" customHeight="1">
      <c r="A2343" s="14"/>
      <c r="D2343" s="18"/>
      <c r="I2343" s="12"/>
      <c r="J2343" s="16"/>
    </row>
    <row r="2344" ht="15.75" customHeight="1">
      <c r="A2344" s="14"/>
      <c r="D2344" s="18"/>
      <c r="I2344" s="12"/>
      <c r="J2344" s="16"/>
    </row>
    <row r="2345" ht="15.75" customHeight="1">
      <c r="A2345" s="14"/>
      <c r="D2345" s="18"/>
      <c r="I2345" s="12"/>
      <c r="J2345" s="16"/>
    </row>
    <row r="2346" ht="15.75" customHeight="1">
      <c r="A2346" s="14"/>
      <c r="D2346" s="18"/>
      <c r="I2346" s="12"/>
      <c r="J2346" s="16"/>
    </row>
    <row r="2347" ht="15.75" customHeight="1">
      <c r="A2347" s="14"/>
      <c r="D2347" s="18"/>
      <c r="I2347" s="12"/>
      <c r="J2347" s="16"/>
    </row>
    <row r="2348" ht="15.75" customHeight="1">
      <c r="A2348" s="14"/>
      <c r="I2348" s="12"/>
      <c r="J2348" s="16"/>
    </row>
    <row r="2349" ht="15.75" customHeight="1">
      <c r="A2349" s="14"/>
      <c r="D2349" s="18"/>
      <c r="I2349" s="12"/>
      <c r="J2349" s="16"/>
    </row>
    <row r="2350" ht="15.75" customHeight="1">
      <c r="A2350" s="14"/>
      <c r="D2350" s="18"/>
      <c r="I2350" s="12"/>
      <c r="J2350" s="16"/>
    </row>
    <row r="2351" ht="15.75" customHeight="1">
      <c r="A2351" s="14"/>
      <c r="D2351" s="18"/>
      <c r="I2351" s="12"/>
      <c r="J2351" s="16"/>
    </row>
    <row r="2352" ht="15.75" customHeight="1">
      <c r="A2352" s="14"/>
      <c r="D2352" s="18"/>
      <c r="I2352" s="12"/>
      <c r="J2352" s="16"/>
    </row>
    <row r="2353" ht="15.75" customHeight="1">
      <c r="A2353" s="14"/>
      <c r="D2353" s="18"/>
      <c r="I2353" s="12"/>
      <c r="J2353" s="16"/>
    </row>
    <row r="2354" ht="15.75" customHeight="1">
      <c r="A2354" s="14"/>
      <c r="D2354" s="18"/>
      <c r="I2354" s="12"/>
      <c r="J2354" s="16"/>
    </row>
    <row r="2355" ht="15.75" customHeight="1">
      <c r="A2355" s="14"/>
      <c r="D2355" s="18"/>
      <c r="I2355" s="12"/>
      <c r="J2355" s="16"/>
    </row>
    <row r="2356" ht="15.75" customHeight="1">
      <c r="A2356" s="14"/>
      <c r="D2356" s="18"/>
      <c r="I2356" s="12"/>
      <c r="J2356" s="16"/>
    </row>
    <row r="2357" ht="15.75" customHeight="1">
      <c r="A2357" s="14"/>
      <c r="D2357" s="18"/>
      <c r="I2357" s="12"/>
      <c r="J2357" s="16"/>
    </row>
    <row r="2358" ht="15.75" customHeight="1">
      <c r="A2358" s="14"/>
      <c r="D2358" s="18"/>
      <c r="I2358" s="12"/>
      <c r="J2358" s="16"/>
    </row>
    <row r="2359" ht="15.75" customHeight="1">
      <c r="A2359" s="14"/>
      <c r="D2359" s="18"/>
      <c r="I2359" s="12"/>
      <c r="J2359" s="16"/>
    </row>
    <row r="2360" ht="15.75" customHeight="1">
      <c r="A2360" s="14"/>
      <c r="D2360" s="18"/>
      <c r="I2360" s="12"/>
      <c r="J2360" s="16"/>
    </row>
    <row r="2361" ht="15.75" customHeight="1">
      <c r="A2361" s="14"/>
      <c r="D2361" s="18"/>
      <c r="I2361" s="12"/>
      <c r="J2361" s="16"/>
    </row>
    <row r="2362" ht="15.75" customHeight="1">
      <c r="A2362" s="14"/>
      <c r="D2362" s="18"/>
      <c r="I2362" s="12"/>
      <c r="J2362" s="16"/>
    </row>
    <row r="2363" ht="15.75" customHeight="1">
      <c r="A2363" s="14"/>
      <c r="D2363" s="18"/>
      <c r="I2363" s="12"/>
      <c r="J2363" s="16"/>
    </row>
    <row r="2364" ht="15.75" customHeight="1">
      <c r="A2364" s="14"/>
      <c r="D2364" s="18"/>
      <c r="I2364" s="12"/>
      <c r="J2364" s="16"/>
    </row>
    <row r="2365" ht="15.75" customHeight="1">
      <c r="A2365" s="14"/>
      <c r="D2365" s="18"/>
      <c r="I2365" s="12"/>
      <c r="J2365" s="16"/>
    </row>
    <row r="2366" ht="15.75" customHeight="1">
      <c r="A2366" s="14"/>
      <c r="D2366" s="18"/>
      <c r="I2366" s="12"/>
      <c r="J2366" s="16"/>
    </row>
    <row r="2367" ht="15.75" customHeight="1">
      <c r="A2367" s="14"/>
      <c r="D2367" s="18"/>
      <c r="I2367" s="12"/>
      <c r="J2367" s="16"/>
    </row>
    <row r="2368" ht="15.75" customHeight="1">
      <c r="A2368" s="14"/>
      <c r="D2368" s="18"/>
      <c r="I2368" s="12"/>
      <c r="J2368" s="16"/>
    </row>
    <row r="2369" ht="15.75" customHeight="1">
      <c r="A2369" s="14"/>
      <c r="D2369" s="18"/>
      <c r="I2369" s="12"/>
      <c r="J2369" s="16"/>
    </row>
    <row r="2370" ht="15.75" customHeight="1">
      <c r="A2370" s="14"/>
      <c r="D2370" s="18"/>
      <c r="I2370" s="12"/>
      <c r="J2370" s="16"/>
    </row>
    <row r="2371" ht="15.75" customHeight="1">
      <c r="A2371" s="14"/>
      <c r="D2371" s="18"/>
      <c r="I2371" s="12"/>
      <c r="J2371" s="16"/>
    </row>
    <row r="2372" ht="15.75" customHeight="1">
      <c r="A2372" s="14"/>
      <c r="D2372" s="18"/>
      <c r="I2372" s="12"/>
      <c r="J2372" s="16"/>
    </row>
    <row r="2373" ht="15.75" customHeight="1">
      <c r="A2373" s="14"/>
      <c r="D2373" s="18"/>
      <c r="I2373" s="12"/>
      <c r="J2373" s="16"/>
    </row>
    <row r="2374" ht="15.75" customHeight="1">
      <c r="A2374" s="14"/>
      <c r="D2374" s="18"/>
      <c r="I2374" s="12"/>
      <c r="J2374" s="16"/>
    </row>
    <row r="2375" ht="15.75" customHeight="1">
      <c r="A2375" s="14"/>
      <c r="D2375" s="18"/>
      <c r="I2375" s="12"/>
      <c r="J2375" s="16"/>
    </row>
    <row r="2376" ht="15.75" customHeight="1">
      <c r="A2376" s="14"/>
      <c r="D2376" s="18"/>
      <c r="I2376" s="12"/>
      <c r="J2376" s="16"/>
    </row>
    <row r="2377" ht="15.75" customHeight="1">
      <c r="A2377" s="14"/>
      <c r="D2377" s="18"/>
      <c r="I2377" s="12"/>
      <c r="J2377" s="16"/>
    </row>
    <row r="2378" ht="15.75" customHeight="1">
      <c r="A2378" s="14"/>
      <c r="D2378" s="18"/>
      <c r="I2378" s="12"/>
      <c r="J2378" s="16"/>
    </row>
    <row r="2379" ht="15.75" customHeight="1">
      <c r="A2379" s="14"/>
      <c r="D2379" s="18"/>
      <c r="I2379" s="12"/>
      <c r="J2379" s="16"/>
    </row>
    <row r="2380" ht="15.75" customHeight="1">
      <c r="A2380" s="14"/>
      <c r="D2380" s="18"/>
      <c r="I2380" s="12"/>
      <c r="J2380" s="16"/>
    </row>
    <row r="2381" ht="15.75" customHeight="1">
      <c r="A2381" s="14"/>
      <c r="D2381" s="18"/>
      <c r="I2381" s="12"/>
      <c r="J2381" s="16"/>
    </row>
    <row r="2382" ht="15.75" customHeight="1">
      <c r="A2382" s="14"/>
      <c r="D2382" s="18"/>
      <c r="I2382" s="12"/>
      <c r="J2382" s="16"/>
    </row>
    <row r="2383" ht="15.75" customHeight="1">
      <c r="A2383" s="14"/>
      <c r="D2383" s="18"/>
      <c r="I2383" s="12"/>
      <c r="J2383" s="16"/>
    </row>
    <row r="2384" ht="15.75" customHeight="1">
      <c r="A2384" s="14"/>
      <c r="D2384" s="18"/>
      <c r="I2384" s="12"/>
      <c r="J2384" s="16"/>
    </row>
    <row r="2385" ht="15.75" customHeight="1">
      <c r="A2385" s="14"/>
      <c r="D2385" s="18"/>
      <c r="I2385" s="12"/>
      <c r="J2385" s="16"/>
    </row>
    <row r="2386" ht="15.75" customHeight="1">
      <c r="A2386" s="14"/>
      <c r="D2386" s="18"/>
      <c r="I2386" s="12"/>
      <c r="J2386" s="16"/>
    </row>
    <row r="2387" ht="15.75" customHeight="1">
      <c r="A2387" s="14"/>
      <c r="I2387" s="12"/>
      <c r="J2387" s="16"/>
    </row>
    <row r="2388" ht="15.75" customHeight="1">
      <c r="A2388" s="14"/>
      <c r="I2388" s="12"/>
      <c r="J2388" s="16"/>
    </row>
    <row r="2389" ht="15.75" customHeight="1">
      <c r="A2389" s="14"/>
      <c r="D2389" s="18"/>
      <c r="I2389" s="12"/>
      <c r="J2389" s="16"/>
    </row>
    <row r="2390" ht="15.75" customHeight="1">
      <c r="A2390" s="14"/>
      <c r="D2390" s="18"/>
      <c r="I2390" s="12"/>
      <c r="J2390" s="16"/>
    </row>
    <row r="2391" ht="15.75" customHeight="1">
      <c r="A2391" s="14"/>
      <c r="I2391" s="12"/>
      <c r="J2391" s="16"/>
    </row>
    <row r="2392" ht="15.75" customHeight="1">
      <c r="A2392" s="14"/>
      <c r="D2392" s="18"/>
      <c r="I2392" s="12"/>
      <c r="J2392" s="16"/>
    </row>
    <row r="2393" ht="15.75" customHeight="1">
      <c r="A2393" s="14"/>
      <c r="D2393" s="18"/>
      <c r="I2393" s="12"/>
      <c r="J2393" s="16"/>
    </row>
    <row r="2394" ht="15.75" customHeight="1">
      <c r="A2394" s="14"/>
      <c r="D2394" s="18"/>
      <c r="I2394" s="12"/>
      <c r="J2394" s="16"/>
    </row>
    <row r="2395" ht="15.75" customHeight="1">
      <c r="A2395" s="14"/>
      <c r="D2395" s="18"/>
      <c r="I2395" s="12"/>
      <c r="J2395" s="16"/>
    </row>
    <row r="2396" ht="15.75" customHeight="1">
      <c r="A2396" s="14"/>
      <c r="D2396" s="18"/>
      <c r="I2396" s="12"/>
      <c r="J2396" s="16"/>
    </row>
    <row r="2397" ht="15.75" customHeight="1">
      <c r="A2397" s="14"/>
      <c r="D2397" s="18"/>
      <c r="I2397" s="12"/>
      <c r="J2397" s="16"/>
    </row>
    <row r="2398" ht="15.75" customHeight="1">
      <c r="A2398" s="14"/>
      <c r="D2398" s="18"/>
      <c r="I2398" s="12"/>
      <c r="J2398" s="16"/>
    </row>
    <row r="2399" ht="15.75" customHeight="1">
      <c r="A2399" s="14"/>
      <c r="D2399" s="18"/>
      <c r="I2399" s="12"/>
      <c r="J2399" s="16"/>
    </row>
    <row r="2400" ht="15.75" customHeight="1">
      <c r="A2400" s="14"/>
      <c r="D2400" s="18"/>
      <c r="I2400" s="12"/>
      <c r="J2400" s="16"/>
    </row>
    <row r="2401" ht="15.75" customHeight="1">
      <c r="A2401" s="14"/>
      <c r="D2401" s="18"/>
      <c r="I2401" s="12"/>
      <c r="J2401" s="16"/>
    </row>
    <row r="2402" ht="15.75" customHeight="1">
      <c r="A2402" s="14"/>
      <c r="D2402" s="18"/>
      <c r="I2402" s="12"/>
      <c r="J2402" s="16"/>
    </row>
    <row r="2403" ht="15.75" customHeight="1">
      <c r="A2403" s="14"/>
      <c r="D2403" s="18"/>
      <c r="I2403" s="12"/>
      <c r="J2403" s="16"/>
    </row>
    <row r="2404" ht="15.75" customHeight="1">
      <c r="A2404" s="14"/>
      <c r="D2404" s="18"/>
      <c r="I2404" s="12"/>
      <c r="J2404" s="16"/>
    </row>
    <row r="2405" ht="15.75" customHeight="1">
      <c r="A2405" s="14"/>
      <c r="D2405" s="18"/>
      <c r="I2405" s="12"/>
      <c r="J2405" s="16"/>
    </row>
    <row r="2406" ht="15.75" customHeight="1">
      <c r="A2406" s="14"/>
      <c r="D2406" s="18"/>
      <c r="I2406" s="12"/>
      <c r="J2406" s="16"/>
    </row>
    <row r="2407" ht="15.75" customHeight="1">
      <c r="A2407" s="14"/>
      <c r="D2407" s="18"/>
      <c r="I2407" s="12"/>
      <c r="J2407" s="16"/>
    </row>
    <row r="2408" ht="15.75" customHeight="1">
      <c r="A2408" s="14"/>
      <c r="D2408" s="18"/>
      <c r="I2408" s="12"/>
      <c r="J2408" s="16"/>
    </row>
    <row r="2409" ht="15.75" customHeight="1">
      <c r="A2409" s="14"/>
      <c r="D2409" s="18"/>
      <c r="I2409" s="12"/>
      <c r="J2409" s="16"/>
    </row>
    <row r="2410" ht="15.75" customHeight="1">
      <c r="A2410" s="14"/>
      <c r="D2410" s="18"/>
      <c r="I2410" s="12"/>
      <c r="J2410" s="16"/>
    </row>
    <row r="2411" ht="15.75" customHeight="1">
      <c r="A2411" s="14"/>
      <c r="D2411" s="18"/>
      <c r="I2411" s="12"/>
      <c r="J2411" s="16"/>
    </row>
    <row r="2412" ht="15.75" customHeight="1">
      <c r="A2412" s="14"/>
      <c r="D2412" s="18"/>
      <c r="I2412" s="12"/>
      <c r="J2412" s="16"/>
    </row>
    <row r="2413" ht="15.75" customHeight="1">
      <c r="A2413" s="14"/>
      <c r="D2413" s="18"/>
      <c r="I2413" s="12"/>
      <c r="J2413" s="16"/>
    </row>
    <row r="2414" ht="15.75" customHeight="1">
      <c r="A2414" s="14"/>
      <c r="D2414" s="18"/>
      <c r="I2414" s="12"/>
      <c r="J2414" s="16"/>
    </row>
    <row r="2415" ht="15.75" customHeight="1">
      <c r="A2415" s="14"/>
      <c r="D2415" s="18"/>
      <c r="I2415" s="12"/>
      <c r="J2415" s="16"/>
    </row>
    <row r="2416" ht="15.75" customHeight="1">
      <c r="A2416" s="14"/>
      <c r="D2416" s="18"/>
      <c r="I2416" s="12"/>
      <c r="J2416" s="16"/>
    </row>
    <row r="2417" ht="15.75" customHeight="1">
      <c r="A2417" s="14"/>
      <c r="D2417" s="18"/>
      <c r="I2417" s="12"/>
      <c r="J2417" s="16"/>
    </row>
    <row r="2418" ht="15.75" customHeight="1">
      <c r="A2418" s="14"/>
      <c r="D2418" s="18"/>
      <c r="I2418" s="12"/>
      <c r="J2418" s="16"/>
    </row>
    <row r="2419" ht="15.75" customHeight="1">
      <c r="A2419" s="14"/>
      <c r="D2419" s="18"/>
      <c r="I2419" s="12"/>
      <c r="J2419" s="16"/>
    </row>
    <row r="2420" ht="15.75" customHeight="1">
      <c r="A2420" s="14"/>
      <c r="D2420" s="18"/>
      <c r="I2420" s="12"/>
      <c r="J2420" s="16"/>
    </row>
    <row r="2421" ht="15.75" customHeight="1">
      <c r="A2421" s="14"/>
      <c r="D2421" s="18"/>
      <c r="I2421" s="12"/>
      <c r="J2421" s="16"/>
    </row>
    <row r="2422" ht="15.75" customHeight="1">
      <c r="A2422" s="14"/>
      <c r="D2422" s="18"/>
      <c r="I2422" s="12"/>
      <c r="J2422" s="16"/>
    </row>
    <row r="2423" ht="15.75" customHeight="1">
      <c r="A2423" s="14"/>
      <c r="D2423" s="18"/>
      <c r="I2423" s="12"/>
      <c r="J2423" s="16"/>
    </row>
    <row r="2424" ht="15.75" customHeight="1">
      <c r="A2424" s="14"/>
      <c r="D2424" s="18"/>
      <c r="I2424" s="12"/>
      <c r="J2424" s="16"/>
    </row>
    <row r="2425" ht="15.75" customHeight="1">
      <c r="A2425" s="14"/>
      <c r="I2425" s="12"/>
      <c r="J2425" s="16"/>
    </row>
    <row r="2426" ht="15.75" customHeight="1">
      <c r="A2426" s="14"/>
      <c r="D2426" s="18"/>
      <c r="I2426" s="12"/>
      <c r="J2426" s="16"/>
    </row>
    <row r="2427" ht="15.75" customHeight="1">
      <c r="A2427" s="14"/>
      <c r="D2427" s="18"/>
      <c r="I2427" s="12"/>
      <c r="J2427" s="16"/>
    </row>
    <row r="2428" ht="15.75" customHeight="1">
      <c r="A2428" s="14"/>
      <c r="D2428" s="18"/>
      <c r="I2428" s="12"/>
      <c r="J2428" s="16"/>
    </row>
    <row r="2429" ht="15.75" customHeight="1">
      <c r="A2429" s="14"/>
      <c r="D2429" s="18"/>
      <c r="I2429" s="12"/>
      <c r="J2429" s="16"/>
    </row>
    <row r="2430" ht="15.75" customHeight="1">
      <c r="A2430" s="14"/>
      <c r="D2430" s="18"/>
      <c r="I2430" s="12"/>
      <c r="J2430" s="16"/>
    </row>
    <row r="2431" ht="15.75" customHeight="1">
      <c r="A2431" s="14"/>
      <c r="D2431" s="18"/>
      <c r="I2431" s="12"/>
      <c r="J2431" s="16"/>
    </row>
    <row r="2432" ht="15.75" customHeight="1">
      <c r="A2432" s="14"/>
      <c r="D2432" s="18"/>
      <c r="I2432" s="12"/>
      <c r="J2432" s="16"/>
    </row>
    <row r="2433" ht="15.75" customHeight="1">
      <c r="A2433" s="14"/>
      <c r="D2433" s="18"/>
      <c r="I2433" s="12"/>
      <c r="J2433" s="16"/>
    </row>
    <row r="2434" ht="15.75" customHeight="1">
      <c r="A2434" s="14"/>
      <c r="D2434" s="18"/>
      <c r="I2434" s="12"/>
      <c r="J2434" s="16"/>
    </row>
    <row r="2435" ht="15.75" customHeight="1">
      <c r="A2435" s="14"/>
      <c r="D2435" s="18"/>
      <c r="I2435" s="12"/>
      <c r="J2435" s="16"/>
    </row>
    <row r="2436" ht="15.75" customHeight="1">
      <c r="A2436" s="14"/>
      <c r="D2436" s="18"/>
      <c r="I2436" s="12"/>
      <c r="J2436" s="16"/>
    </row>
    <row r="2437" ht="15.75" customHeight="1">
      <c r="A2437" s="14"/>
      <c r="D2437" s="18"/>
      <c r="I2437" s="12"/>
      <c r="J2437" s="16"/>
    </row>
    <row r="2438" ht="15.75" customHeight="1">
      <c r="A2438" s="14"/>
      <c r="D2438" s="18"/>
      <c r="I2438" s="12"/>
      <c r="J2438" s="16"/>
    </row>
    <row r="2439" ht="15.75" customHeight="1">
      <c r="A2439" s="14"/>
      <c r="D2439" s="18"/>
      <c r="I2439" s="12"/>
      <c r="J2439" s="16"/>
    </row>
    <row r="2440" ht="15.75" customHeight="1">
      <c r="A2440" s="14"/>
      <c r="D2440" s="18"/>
      <c r="I2440" s="12"/>
      <c r="J2440" s="16"/>
    </row>
    <row r="2441" ht="15.75" customHeight="1">
      <c r="A2441" s="14"/>
      <c r="D2441" s="18"/>
      <c r="I2441" s="12"/>
      <c r="J2441" s="16"/>
    </row>
    <row r="2442" ht="15.75" customHeight="1">
      <c r="A2442" s="14"/>
      <c r="D2442" s="18"/>
      <c r="I2442" s="12"/>
      <c r="J2442" s="16"/>
    </row>
    <row r="2443" ht="15.75" customHeight="1">
      <c r="A2443" s="14"/>
      <c r="D2443" s="18"/>
      <c r="I2443" s="12"/>
      <c r="J2443" s="16"/>
    </row>
    <row r="2444" ht="15.75" customHeight="1">
      <c r="A2444" s="14"/>
      <c r="D2444" s="18"/>
      <c r="I2444" s="12"/>
      <c r="J2444" s="16"/>
    </row>
    <row r="2445" ht="15.75" customHeight="1">
      <c r="A2445" s="14"/>
      <c r="D2445" s="18"/>
      <c r="I2445" s="12"/>
      <c r="J2445" s="16"/>
    </row>
    <row r="2446" ht="15.75" customHeight="1">
      <c r="A2446" s="14"/>
      <c r="D2446" s="18"/>
      <c r="I2446" s="12"/>
      <c r="J2446" s="16"/>
    </row>
    <row r="2447" ht="15.75" customHeight="1">
      <c r="A2447" s="14"/>
      <c r="D2447" s="18"/>
      <c r="I2447" s="12"/>
      <c r="J2447" s="16"/>
    </row>
    <row r="2448" ht="15.75" customHeight="1">
      <c r="A2448" s="14"/>
      <c r="I2448" s="12"/>
      <c r="J2448" s="16"/>
    </row>
    <row r="2449" ht="15.75" customHeight="1">
      <c r="A2449" s="14"/>
      <c r="D2449" s="18"/>
      <c r="I2449" s="12"/>
      <c r="J2449" s="16"/>
    </row>
    <row r="2450" ht="15.75" customHeight="1">
      <c r="A2450" s="14"/>
      <c r="D2450" s="18"/>
      <c r="I2450" s="12"/>
      <c r="J2450" s="16"/>
    </row>
    <row r="2451" ht="15.75" customHeight="1">
      <c r="A2451" s="14"/>
      <c r="I2451" s="12"/>
      <c r="J2451" s="16"/>
    </row>
    <row r="2452" ht="15.75" customHeight="1">
      <c r="A2452" s="14"/>
      <c r="I2452" s="12"/>
      <c r="J2452" s="16"/>
    </row>
    <row r="2453" ht="15.75" customHeight="1">
      <c r="A2453" s="14"/>
      <c r="D2453" s="18"/>
      <c r="I2453" s="12"/>
      <c r="J2453" s="16"/>
    </row>
    <row r="2454" ht="15.75" customHeight="1">
      <c r="A2454" s="14"/>
      <c r="D2454" s="18"/>
      <c r="I2454" s="12"/>
      <c r="J2454" s="16"/>
    </row>
    <row r="2455" ht="15.75" customHeight="1">
      <c r="A2455" s="14"/>
      <c r="D2455" s="18"/>
      <c r="I2455" s="12"/>
      <c r="J2455" s="16"/>
    </row>
    <row r="2456" ht="15.75" customHeight="1">
      <c r="A2456" s="14"/>
      <c r="D2456" s="18"/>
      <c r="I2456" s="12"/>
      <c r="J2456" s="16"/>
    </row>
    <row r="2457" ht="15.75" customHeight="1">
      <c r="A2457" s="14"/>
      <c r="D2457" s="18"/>
      <c r="I2457" s="12"/>
      <c r="J2457" s="16"/>
    </row>
    <row r="2458" ht="15.75" customHeight="1">
      <c r="A2458" s="14"/>
      <c r="D2458" s="18"/>
      <c r="I2458" s="12"/>
      <c r="J2458" s="16"/>
    </row>
    <row r="2459" ht="15.75" customHeight="1">
      <c r="A2459" s="14"/>
      <c r="D2459" s="18"/>
      <c r="I2459" s="12"/>
      <c r="J2459" s="16"/>
    </row>
    <row r="2460" ht="15.75" customHeight="1">
      <c r="A2460" s="14"/>
      <c r="D2460" s="18"/>
      <c r="I2460" s="12"/>
      <c r="J2460" s="16"/>
    </row>
    <row r="2461" ht="15.75" customHeight="1">
      <c r="A2461" s="14"/>
      <c r="D2461" s="18"/>
      <c r="I2461" s="12"/>
      <c r="J2461" s="16"/>
    </row>
    <row r="2462" ht="15.75" customHeight="1">
      <c r="A2462" s="14"/>
      <c r="D2462" s="18"/>
      <c r="I2462" s="12"/>
      <c r="J2462" s="16"/>
    </row>
    <row r="2463" ht="15.75" customHeight="1">
      <c r="A2463" s="14"/>
      <c r="D2463" s="18"/>
      <c r="I2463" s="12"/>
      <c r="J2463" s="16"/>
    </row>
    <row r="2464" ht="15.75" customHeight="1">
      <c r="A2464" s="14"/>
      <c r="D2464" s="18"/>
      <c r="I2464" s="12"/>
      <c r="J2464" s="16"/>
    </row>
    <row r="2465" ht="15.75" customHeight="1">
      <c r="A2465" s="14"/>
      <c r="D2465" s="18"/>
      <c r="I2465" s="12"/>
      <c r="J2465" s="16"/>
    </row>
    <row r="2466" ht="15.75" customHeight="1">
      <c r="A2466" s="14"/>
      <c r="D2466" s="18"/>
      <c r="I2466" s="12"/>
      <c r="J2466" s="16"/>
    </row>
    <row r="2467" ht="15.75" customHeight="1">
      <c r="A2467" s="14"/>
      <c r="D2467" s="18"/>
      <c r="I2467" s="12"/>
      <c r="J2467" s="16"/>
    </row>
    <row r="2468" ht="15.75" customHeight="1">
      <c r="A2468" s="14"/>
      <c r="D2468" s="18"/>
      <c r="I2468" s="12"/>
      <c r="J2468" s="16"/>
    </row>
    <row r="2469" ht="15.75" customHeight="1">
      <c r="A2469" s="14"/>
      <c r="D2469" s="18"/>
      <c r="I2469" s="12"/>
      <c r="J2469" s="16"/>
    </row>
    <row r="2470" ht="15.75" customHeight="1">
      <c r="A2470" s="14"/>
      <c r="D2470" s="18"/>
      <c r="I2470" s="12"/>
      <c r="J2470" s="16"/>
    </row>
    <row r="2471" ht="15.75" customHeight="1">
      <c r="A2471" s="14"/>
      <c r="D2471" s="18"/>
      <c r="I2471" s="12"/>
      <c r="J2471" s="16"/>
    </row>
    <row r="2472" ht="15.75" customHeight="1">
      <c r="A2472" s="14"/>
      <c r="D2472" s="18"/>
      <c r="I2472" s="12"/>
      <c r="J2472" s="16"/>
    </row>
    <row r="2473" ht="15.75" customHeight="1">
      <c r="A2473" s="14"/>
      <c r="D2473" s="18"/>
      <c r="I2473" s="12"/>
      <c r="J2473" s="16"/>
    </row>
    <row r="2474" ht="15.75" customHeight="1">
      <c r="A2474" s="14"/>
      <c r="D2474" s="18"/>
      <c r="I2474" s="12"/>
      <c r="J2474" s="16"/>
    </row>
    <row r="2475" ht="15.75" customHeight="1">
      <c r="A2475" s="14"/>
      <c r="D2475" s="18"/>
      <c r="I2475" s="12"/>
      <c r="J2475" s="16"/>
    </row>
    <row r="2476" ht="15.75" customHeight="1">
      <c r="A2476" s="14"/>
      <c r="D2476" s="18"/>
      <c r="I2476" s="12"/>
      <c r="J2476" s="16"/>
    </row>
    <row r="2477" ht="15.75" customHeight="1">
      <c r="A2477" s="14"/>
      <c r="D2477" s="18"/>
      <c r="I2477" s="12"/>
      <c r="J2477" s="16"/>
    </row>
    <row r="2478" ht="15.75" customHeight="1">
      <c r="A2478" s="14"/>
      <c r="D2478" s="18"/>
      <c r="I2478" s="12"/>
      <c r="J2478" s="16"/>
    </row>
    <row r="2479" ht="15.75" customHeight="1">
      <c r="A2479" s="14"/>
      <c r="D2479" s="18"/>
      <c r="I2479" s="12"/>
      <c r="J2479" s="16"/>
    </row>
    <row r="2480" ht="15.75" customHeight="1">
      <c r="A2480" s="14"/>
      <c r="D2480" s="18"/>
      <c r="I2480" s="12"/>
      <c r="J2480" s="16"/>
    </row>
    <row r="2481" ht="15.75" customHeight="1">
      <c r="A2481" s="14"/>
      <c r="D2481" s="18"/>
      <c r="I2481" s="12"/>
      <c r="J2481" s="16"/>
    </row>
    <row r="2482" ht="15.75" customHeight="1">
      <c r="A2482" s="14"/>
      <c r="D2482" s="18"/>
      <c r="I2482" s="12"/>
      <c r="J2482" s="16"/>
    </row>
    <row r="2483" ht="15.75" customHeight="1">
      <c r="A2483" s="14"/>
      <c r="D2483" s="18"/>
      <c r="I2483" s="12"/>
      <c r="J2483" s="16"/>
    </row>
    <row r="2484" ht="15.75" customHeight="1">
      <c r="A2484" s="14"/>
      <c r="D2484" s="18"/>
      <c r="I2484" s="12"/>
      <c r="J2484" s="16"/>
    </row>
    <row r="2485" ht="15.75" customHeight="1">
      <c r="A2485" s="14"/>
      <c r="D2485" s="18"/>
      <c r="I2485" s="12"/>
      <c r="J2485" s="16"/>
    </row>
    <row r="2486" ht="15.75" customHeight="1">
      <c r="A2486" s="14"/>
      <c r="D2486" s="18"/>
      <c r="I2486" s="12"/>
      <c r="J2486" s="16"/>
    </row>
    <row r="2487" ht="15.75" customHeight="1">
      <c r="A2487" s="14"/>
      <c r="D2487" s="18"/>
      <c r="I2487" s="12"/>
      <c r="J2487" s="16"/>
    </row>
    <row r="2488" ht="15.75" customHeight="1">
      <c r="A2488" s="14"/>
      <c r="D2488" s="18"/>
      <c r="I2488" s="12"/>
      <c r="J2488" s="16"/>
    </row>
    <row r="2489" ht="15.75" customHeight="1">
      <c r="A2489" s="14"/>
      <c r="D2489" s="18"/>
      <c r="I2489" s="12"/>
      <c r="J2489" s="16"/>
    </row>
    <row r="2490" ht="15.75" customHeight="1">
      <c r="A2490" s="14"/>
      <c r="D2490" s="18"/>
      <c r="I2490" s="12"/>
      <c r="J2490" s="16"/>
    </row>
    <row r="2491" ht="15.75" customHeight="1">
      <c r="A2491" s="14"/>
      <c r="D2491" s="18"/>
      <c r="I2491" s="12"/>
      <c r="J2491" s="16"/>
    </row>
    <row r="2492" ht="15.75" customHeight="1">
      <c r="A2492" s="14"/>
      <c r="D2492" s="18"/>
      <c r="I2492" s="12"/>
      <c r="J2492" s="16"/>
    </row>
    <row r="2493" ht="15.75" customHeight="1">
      <c r="A2493" s="14"/>
      <c r="D2493" s="18"/>
      <c r="I2493" s="12"/>
      <c r="J2493" s="16"/>
    </row>
    <row r="2494" ht="15.75" customHeight="1">
      <c r="A2494" s="14"/>
      <c r="D2494" s="18"/>
      <c r="I2494" s="12"/>
      <c r="J2494" s="16"/>
    </row>
    <row r="2495" ht="15.75" customHeight="1">
      <c r="A2495" s="14"/>
      <c r="D2495" s="18"/>
      <c r="I2495" s="12"/>
      <c r="J2495" s="16"/>
    </row>
    <row r="2496" ht="15.75" customHeight="1">
      <c r="A2496" s="14"/>
      <c r="D2496" s="18"/>
      <c r="I2496" s="12"/>
      <c r="J2496" s="16"/>
    </row>
    <row r="2497" ht="15.75" customHeight="1">
      <c r="A2497" s="14"/>
      <c r="D2497" s="18"/>
      <c r="I2497" s="12"/>
      <c r="J2497" s="16"/>
    </row>
    <row r="2498" ht="15.75" customHeight="1">
      <c r="A2498" s="14"/>
      <c r="D2498" s="18"/>
      <c r="I2498" s="12"/>
      <c r="J2498" s="16"/>
    </row>
    <row r="2499" ht="15.75" customHeight="1">
      <c r="A2499" s="14"/>
      <c r="D2499" s="18"/>
      <c r="I2499" s="12"/>
      <c r="J2499" s="16"/>
    </row>
    <row r="2500" ht="15.75" customHeight="1">
      <c r="A2500" s="14"/>
      <c r="D2500" s="18"/>
      <c r="I2500" s="12"/>
      <c r="J2500" s="16"/>
    </row>
    <row r="2501" ht="15.75" customHeight="1">
      <c r="A2501" s="14"/>
      <c r="D2501" s="18"/>
      <c r="I2501" s="12"/>
      <c r="J2501" s="16"/>
    </row>
    <row r="2502" ht="15.75" customHeight="1">
      <c r="A2502" s="14"/>
      <c r="D2502" s="18"/>
      <c r="I2502" s="12"/>
      <c r="J2502" s="16"/>
    </row>
    <row r="2503" ht="15.75" customHeight="1">
      <c r="A2503" s="14"/>
      <c r="D2503" s="18"/>
      <c r="I2503" s="12"/>
      <c r="J2503" s="16"/>
    </row>
    <row r="2504" ht="15.75" customHeight="1">
      <c r="A2504" s="14"/>
      <c r="D2504" s="18"/>
      <c r="I2504" s="12"/>
      <c r="J2504" s="16"/>
    </row>
    <row r="2505" ht="15.75" customHeight="1">
      <c r="A2505" s="14"/>
      <c r="D2505" s="18"/>
      <c r="I2505" s="12"/>
      <c r="J2505" s="16"/>
    </row>
    <row r="2506" ht="15.75" customHeight="1">
      <c r="A2506" s="14"/>
      <c r="D2506" s="18"/>
      <c r="I2506" s="12"/>
      <c r="J2506" s="16"/>
    </row>
    <row r="2507" ht="15.75" customHeight="1">
      <c r="A2507" s="14"/>
      <c r="D2507" s="18"/>
      <c r="I2507" s="12"/>
      <c r="J2507" s="16"/>
    </row>
    <row r="2508" ht="15.75" customHeight="1">
      <c r="A2508" s="14"/>
      <c r="D2508" s="18"/>
      <c r="I2508" s="12"/>
      <c r="J2508" s="16"/>
    </row>
    <row r="2509" ht="15.75" customHeight="1">
      <c r="A2509" s="14"/>
      <c r="D2509" s="18"/>
      <c r="I2509" s="12"/>
      <c r="J2509" s="16"/>
    </row>
    <row r="2510" ht="15.75" customHeight="1">
      <c r="A2510" s="14"/>
      <c r="D2510" s="18"/>
      <c r="I2510" s="12"/>
      <c r="J2510" s="16"/>
    </row>
    <row r="2511" ht="15.75" customHeight="1">
      <c r="A2511" s="14"/>
      <c r="D2511" s="18"/>
      <c r="I2511" s="12"/>
      <c r="J2511" s="16"/>
    </row>
    <row r="2512" ht="15.75" customHeight="1">
      <c r="A2512" s="14"/>
      <c r="D2512" s="18"/>
      <c r="I2512" s="12"/>
      <c r="J2512" s="16"/>
    </row>
    <row r="2513" ht="15.75" customHeight="1">
      <c r="A2513" s="14"/>
      <c r="D2513" s="18"/>
      <c r="I2513" s="12"/>
      <c r="J2513" s="16"/>
    </row>
    <row r="2514" ht="15.75" customHeight="1">
      <c r="A2514" s="14"/>
      <c r="D2514" s="18"/>
      <c r="I2514" s="12"/>
      <c r="J2514" s="16"/>
    </row>
    <row r="2515" ht="15.75" customHeight="1">
      <c r="A2515" s="14"/>
      <c r="D2515" s="18"/>
      <c r="I2515" s="12"/>
      <c r="J2515" s="16"/>
    </row>
    <row r="2516" ht="15.75" customHeight="1">
      <c r="A2516" s="14"/>
      <c r="D2516" s="18"/>
      <c r="I2516" s="12"/>
      <c r="J2516" s="16"/>
    </row>
    <row r="2517" ht="15.75" customHeight="1">
      <c r="A2517" s="14"/>
      <c r="D2517" s="18"/>
      <c r="I2517" s="12"/>
      <c r="J2517" s="16"/>
    </row>
    <row r="2518" ht="15.75" customHeight="1">
      <c r="A2518" s="14"/>
      <c r="D2518" s="18"/>
      <c r="I2518" s="12"/>
      <c r="J2518" s="16"/>
    </row>
    <row r="2519" ht="15.75" customHeight="1">
      <c r="A2519" s="14"/>
      <c r="D2519" s="18"/>
      <c r="I2519" s="12"/>
      <c r="J2519" s="16"/>
    </row>
    <row r="2520" ht="15.75" customHeight="1">
      <c r="A2520" s="14"/>
      <c r="D2520" s="18"/>
      <c r="I2520" s="12"/>
      <c r="J2520" s="16"/>
    </row>
    <row r="2521" ht="15.75" customHeight="1">
      <c r="A2521" s="14"/>
      <c r="D2521" s="18"/>
      <c r="I2521" s="12"/>
      <c r="J2521" s="16"/>
    </row>
    <row r="2522" ht="15.75" customHeight="1">
      <c r="A2522" s="14"/>
      <c r="D2522" s="18"/>
      <c r="I2522" s="12"/>
      <c r="J2522" s="16"/>
    </row>
    <row r="2523" ht="15.75" customHeight="1">
      <c r="A2523" s="14"/>
      <c r="D2523" s="18"/>
      <c r="I2523" s="12"/>
      <c r="J2523" s="16"/>
    </row>
    <row r="2524" ht="15.75" customHeight="1">
      <c r="A2524" s="14"/>
      <c r="D2524" s="18"/>
      <c r="I2524" s="12"/>
      <c r="J2524" s="16"/>
    </row>
    <row r="2525" ht="15.75" customHeight="1">
      <c r="A2525" s="14"/>
      <c r="D2525" s="18"/>
      <c r="I2525" s="12"/>
      <c r="J2525" s="16"/>
    </row>
    <row r="2526" ht="15.75" customHeight="1">
      <c r="A2526" s="14"/>
      <c r="D2526" s="18"/>
      <c r="I2526" s="12"/>
      <c r="J2526" s="16"/>
    </row>
    <row r="2527" ht="15.75" customHeight="1">
      <c r="A2527" s="14"/>
      <c r="D2527" s="18"/>
      <c r="I2527" s="12"/>
      <c r="J2527" s="16"/>
    </row>
    <row r="2528" ht="15.75" customHeight="1">
      <c r="A2528" s="14"/>
      <c r="D2528" s="18"/>
      <c r="I2528" s="12"/>
      <c r="J2528" s="16"/>
    </row>
    <row r="2529" ht="15.75" customHeight="1">
      <c r="A2529" s="14"/>
      <c r="D2529" s="18"/>
      <c r="I2529" s="12"/>
      <c r="J2529" s="16"/>
    </row>
    <row r="2530" ht="15.75" customHeight="1">
      <c r="A2530" s="14"/>
      <c r="D2530" s="18"/>
      <c r="I2530" s="12"/>
      <c r="J2530" s="16"/>
    </row>
    <row r="2531" ht="15.75" customHeight="1">
      <c r="A2531" s="14"/>
      <c r="D2531" s="18"/>
      <c r="I2531" s="12"/>
      <c r="J2531" s="16"/>
    </row>
    <row r="2532" ht="15.75" customHeight="1">
      <c r="A2532" s="14"/>
      <c r="D2532" s="18"/>
      <c r="I2532" s="12"/>
      <c r="J2532" s="16"/>
    </row>
    <row r="2533" ht="15.75" customHeight="1">
      <c r="A2533" s="14"/>
      <c r="D2533" s="18"/>
      <c r="I2533" s="12"/>
      <c r="J2533" s="16"/>
    </row>
    <row r="2534" ht="15.75" customHeight="1">
      <c r="A2534" s="14"/>
      <c r="D2534" s="18"/>
      <c r="I2534" s="12"/>
      <c r="J2534" s="16"/>
    </row>
    <row r="2535" ht="15.75" customHeight="1">
      <c r="A2535" s="14"/>
      <c r="D2535" s="18"/>
      <c r="I2535" s="12"/>
      <c r="J2535" s="16"/>
    </row>
    <row r="2536" ht="15.75" customHeight="1">
      <c r="A2536" s="14"/>
      <c r="D2536" s="18"/>
      <c r="I2536" s="12"/>
      <c r="J2536" s="16"/>
    </row>
    <row r="2537" ht="15.75" customHeight="1">
      <c r="A2537" s="14"/>
      <c r="D2537" s="18"/>
      <c r="I2537" s="12"/>
      <c r="J2537" s="16"/>
    </row>
    <row r="2538" ht="15.75" customHeight="1">
      <c r="A2538" s="14"/>
      <c r="D2538" s="18"/>
      <c r="I2538" s="12"/>
      <c r="J2538" s="16"/>
    </row>
    <row r="2539" ht="15.75" customHeight="1">
      <c r="A2539" s="14"/>
      <c r="D2539" s="18"/>
      <c r="I2539" s="12"/>
      <c r="J2539" s="16"/>
    </row>
    <row r="2540" ht="15.75" customHeight="1">
      <c r="A2540" s="14"/>
      <c r="D2540" s="18"/>
      <c r="I2540" s="12"/>
      <c r="J2540" s="16"/>
    </row>
    <row r="2541" ht="15.75" customHeight="1">
      <c r="A2541" s="14"/>
      <c r="D2541" s="18"/>
      <c r="I2541" s="12"/>
      <c r="J2541" s="16"/>
    </row>
    <row r="2542" ht="15.75" customHeight="1">
      <c r="A2542" s="14"/>
      <c r="D2542" s="18"/>
      <c r="I2542" s="12"/>
      <c r="J2542" s="16"/>
    </row>
    <row r="2543" ht="15.75" customHeight="1">
      <c r="A2543" s="14"/>
      <c r="D2543" s="18"/>
      <c r="I2543" s="12"/>
      <c r="J2543" s="16"/>
    </row>
    <row r="2544" ht="15.75" customHeight="1">
      <c r="A2544" s="14"/>
      <c r="D2544" s="18"/>
      <c r="I2544" s="12"/>
      <c r="J2544" s="16"/>
    </row>
    <row r="2545" ht="15.75" customHeight="1">
      <c r="A2545" s="14"/>
      <c r="D2545" s="18"/>
      <c r="I2545" s="12"/>
      <c r="J2545" s="16"/>
    </row>
    <row r="2546" ht="15.75" customHeight="1">
      <c r="A2546" s="14"/>
      <c r="D2546" s="18"/>
      <c r="I2546" s="12"/>
      <c r="J2546" s="16"/>
    </row>
    <row r="2547" ht="15.75" customHeight="1">
      <c r="A2547" s="14"/>
      <c r="D2547" s="18"/>
      <c r="I2547" s="12"/>
      <c r="J2547" s="16"/>
    </row>
    <row r="2548" ht="15.75" customHeight="1">
      <c r="A2548" s="14"/>
      <c r="D2548" s="18"/>
      <c r="I2548" s="12"/>
      <c r="J2548" s="16"/>
    </row>
    <row r="2549" ht="15.75" customHeight="1">
      <c r="A2549" s="14"/>
      <c r="D2549" s="18"/>
      <c r="I2549" s="12"/>
      <c r="J2549" s="16"/>
    </row>
    <row r="2550" ht="15.75" customHeight="1">
      <c r="A2550" s="14"/>
      <c r="D2550" s="18"/>
      <c r="I2550" s="12"/>
      <c r="J2550" s="16"/>
    </row>
    <row r="2551" ht="15.75" customHeight="1">
      <c r="A2551" s="14"/>
      <c r="D2551" s="18"/>
      <c r="I2551" s="12"/>
      <c r="J2551" s="16"/>
    </row>
    <row r="2552" ht="15.75" customHeight="1">
      <c r="A2552" s="14"/>
      <c r="D2552" s="18"/>
      <c r="I2552" s="12"/>
      <c r="J2552" s="16"/>
    </row>
    <row r="2553" ht="15.75" customHeight="1">
      <c r="A2553" s="14"/>
      <c r="D2553" s="18"/>
      <c r="I2553" s="12"/>
      <c r="J2553" s="16"/>
    </row>
    <row r="2554" ht="15.75" customHeight="1">
      <c r="A2554" s="14"/>
      <c r="D2554" s="18"/>
      <c r="I2554" s="12"/>
      <c r="J2554" s="16"/>
    </row>
    <row r="2555" ht="15.75" customHeight="1">
      <c r="A2555" s="14"/>
      <c r="D2555" s="18"/>
      <c r="I2555" s="12"/>
      <c r="J2555" s="16"/>
    </row>
    <row r="2556" ht="15.75" customHeight="1">
      <c r="A2556" s="14"/>
      <c r="D2556" s="18"/>
      <c r="I2556" s="12"/>
      <c r="J2556" s="16"/>
    </row>
    <row r="2557" ht="15.75" customHeight="1">
      <c r="A2557" s="14"/>
      <c r="D2557" s="18"/>
      <c r="I2557" s="12"/>
      <c r="J2557" s="16"/>
    </row>
    <row r="2558" ht="15.75" customHeight="1">
      <c r="A2558" s="14"/>
      <c r="D2558" s="18"/>
      <c r="I2558" s="12"/>
      <c r="J2558" s="16"/>
    </row>
    <row r="2559" ht="15.75" customHeight="1">
      <c r="A2559" s="14"/>
      <c r="D2559" s="18"/>
      <c r="I2559" s="12"/>
      <c r="J2559" s="16"/>
    </row>
    <row r="2560" ht="15.75" customHeight="1">
      <c r="A2560" s="14"/>
      <c r="D2560" s="18"/>
      <c r="I2560" s="12"/>
      <c r="J2560" s="16"/>
    </row>
    <row r="2561" ht="15.75" customHeight="1">
      <c r="A2561" s="14"/>
      <c r="D2561" s="18"/>
      <c r="I2561" s="12"/>
      <c r="J2561" s="16"/>
    </row>
    <row r="2562" ht="15.75" customHeight="1">
      <c r="A2562" s="14"/>
      <c r="D2562" s="18"/>
      <c r="I2562" s="12"/>
      <c r="J2562" s="16"/>
    </row>
    <row r="2563" ht="15.75" customHeight="1">
      <c r="A2563" s="14"/>
      <c r="D2563" s="18"/>
      <c r="I2563" s="12"/>
      <c r="J2563" s="16"/>
    </row>
    <row r="2564" ht="15.75" customHeight="1">
      <c r="A2564" s="14"/>
      <c r="D2564" s="18"/>
      <c r="I2564" s="12"/>
      <c r="J2564" s="16"/>
    </row>
    <row r="2565" ht="15.75" customHeight="1">
      <c r="A2565" s="14"/>
      <c r="D2565" s="18"/>
      <c r="I2565" s="12"/>
      <c r="J2565" s="16"/>
    </row>
    <row r="2566" ht="15.75" customHeight="1">
      <c r="A2566" s="14"/>
      <c r="D2566" s="18"/>
      <c r="I2566" s="12"/>
      <c r="J2566" s="16"/>
    </row>
    <row r="2567" ht="15.75" customHeight="1">
      <c r="A2567" s="14"/>
      <c r="D2567" s="18"/>
      <c r="I2567" s="12"/>
      <c r="J2567" s="16"/>
    </row>
    <row r="2568" ht="15.75" customHeight="1">
      <c r="A2568" s="14"/>
      <c r="D2568" s="18"/>
      <c r="I2568" s="12"/>
      <c r="J2568" s="16"/>
    </row>
    <row r="2569" ht="15.75" customHeight="1">
      <c r="A2569" s="14"/>
      <c r="D2569" s="18"/>
      <c r="I2569" s="12"/>
      <c r="J2569" s="16"/>
    </row>
    <row r="2570" ht="15.75" customHeight="1">
      <c r="A2570" s="14"/>
      <c r="D2570" s="18"/>
      <c r="I2570" s="12"/>
      <c r="J2570" s="16"/>
    </row>
    <row r="2571" ht="15.75" customHeight="1">
      <c r="A2571" s="14"/>
      <c r="D2571" s="18"/>
      <c r="I2571" s="12"/>
      <c r="J2571" s="16"/>
    </row>
    <row r="2572" ht="15.75" customHeight="1">
      <c r="A2572" s="14"/>
      <c r="D2572" s="18"/>
      <c r="I2572" s="12"/>
      <c r="J2572" s="16"/>
    </row>
    <row r="2573" ht="15.75" customHeight="1">
      <c r="A2573" s="14"/>
      <c r="D2573" s="18"/>
      <c r="I2573" s="12"/>
      <c r="J2573" s="16"/>
    </row>
    <row r="2574" ht="15.75" customHeight="1">
      <c r="A2574" s="14"/>
      <c r="D2574" s="18"/>
      <c r="I2574" s="12"/>
      <c r="J2574" s="16"/>
    </row>
    <row r="2575" ht="15.75" customHeight="1">
      <c r="A2575" s="14"/>
      <c r="D2575" s="18"/>
      <c r="I2575" s="12"/>
      <c r="J2575" s="16"/>
    </row>
    <row r="2576" ht="15.75" customHeight="1">
      <c r="A2576" s="14"/>
      <c r="D2576" s="18"/>
      <c r="I2576" s="12"/>
      <c r="J2576" s="16"/>
    </row>
    <row r="2577" ht="15.75" customHeight="1">
      <c r="A2577" s="14"/>
      <c r="D2577" s="18"/>
      <c r="I2577" s="12"/>
      <c r="J2577" s="16"/>
    </row>
    <row r="2578" ht="15.75" customHeight="1">
      <c r="A2578" s="14"/>
      <c r="D2578" s="18"/>
      <c r="I2578" s="12"/>
      <c r="J2578" s="16"/>
    </row>
    <row r="2579" ht="15.75" customHeight="1">
      <c r="A2579" s="14"/>
      <c r="I2579" s="12"/>
      <c r="J2579" s="16"/>
    </row>
    <row r="2580" ht="15.75" customHeight="1">
      <c r="A2580" s="14"/>
      <c r="D2580" s="18"/>
      <c r="I2580" s="12"/>
      <c r="J2580" s="16"/>
    </row>
    <row r="2581" ht="15.75" customHeight="1">
      <c r="A2581" s="14"/>
      <c r="D2581" s="18"/>
      <c r="I2581" s="12"/>
      <c r="J2581" s="16"/>
    </row>
    <row r="2582" ht="15.75" customHeight="1">
      <c r="A2582" s="14"/>
      <c r="D2582" s="18"/>
      <c r="I2582" s="12"/>
      <c r="J2582" s="16"/>
    </row>
    <row r="2583" ht="15.75" customHeight="1">
      <c r="A2583" s="14"/>
      <c r="D2583" s="18"/>
      <c r="I2583" s="12"/>
      <c r="J2583" s="16"/>
    </row>
    <row r="2584" ht="15.75" customHeight="1">
      <c r="A2584" s="14"/>
      <c r="D2584" s="18"/>
      <c r="I2584" s="12"/>
      <c r="J2584" s="16"/>
    </row>
    <row r="2585" ht="15.75" customHeight="1">
      <c r="A2585" s="14"/>
      <c r="D2585" s="18"/>
      <c r="I2585" s="12"/>
      <c r="J2585" s="16"/>
    </row>
    <row r="2586" ht="15.75" customHeight="1">
      <c r="A2586" s="14"/>
      <c r="D2586" s="18"/>
      <c r="I2586" s="12"/>
      <c r="J2586" s="16"/>
    </row>
    <row r="2587" ht="15.75" customHeight="1">
      <c r="A2587" s="14"/>
      <c r="D2587" s="18"/>
      <c r="I2587" s="12"/>
      <c r="J2587" s="16"/>
    </row>
    <row r="2588" ht="15.75" customHeight="1">
      <c r="A2588" s="14"/>
      <c r="D2588" s="18"/>
      <c r="I2588" s="12"/>
      <c r="J2588" s="16"/>
    </row>
    <row r="2589" ht="15.75" customHeight="1">
      <c r="A2589" s="14"/>
      <c r="D2589" s="18"/>
      <c r="I2589" s="12"/>
      <c r="J2589" s="16"/>
    </row>
    <row r="2590" ht="15.75" customHeight="1">
      <c r="A2590" s="14"/>
      <c r="D2590" s="18"/>
      <c r="I2590" s="12"/>
      <c r="J2590" s="16"/>
    </row>
    <row r="2591" ht="15.75" customHeight="1">
      <c r="A2591" s="14"/>
      <c r="D2591" s="18"/>
      <c r="I2591" s="12"/>
      <c r="J2591" s="16"/>
    </row>
    <row r="2592" ht="15.75" customHeight="1">
      <c r="A2592" s="14"/>
      <c r="D2592" s="18"/>
      <c r="I2592" s="12"/>
      <c r="J2592" s="16"/>
    </row>
    <row r="2593" ht="15.75" customHeight="1">
      <c r="A2593" s="14"/>
      <c r="D2593" s="18"/>
      <c r="I2593" s="12"/>
      <c r="J2593" s="16"/>
    </row>
    <row r="2594" ht="15.75" customHeight="1">
      <c r="A2594" s="14"/>
      <c r="D2594" s="18"/>
      <c r="I2594" s="12"/>
      <c r="J2594" s="16"/>
    </row>
    <row r="2595" ht="15.75" customHeight="1">
      <c r="A2595" s="14"/>
      <c r="D2595" s="18"/>
      <c r="I2595" s="12"/>
      <c r="J2595" s="16"/>
    </row>
    <row r="2596" ht="15.75" customHeight="1">
      <c r="A2596" s="14"/>
      <c r="D2596" s="18"/>
      <c r="I2596" s="12"/>
      <c r="J2596" s="16"/>
    </row>
    <row r="2597" ht="15.75" customHeight="1">
      <c r="A2597" s="14"/>
      <c r="D2597" s="18"/>
      <c r="I2597" s="12"/>
      <c r="J2597" s="16"/>
    </row>
    <row r="2598" ht="15.75" customHeight="1">
      <c r="A2598" s="14"/>
      <c r="D2598" s="18"/>
      <c r="I2598" s="12"/>
      <c r="J2598" s="16"/>
    </row>
    <row r="2599" ht="15.75" customHeight="1">
      <c r="A2599" s="14"/>
      <c r="D2599" s="18"/>
      <c r="I2599" s="12"/>
      <c r="J2599" s="16"/>
    </row>
    <row r="2600" ht="15.75" customHeight="1">
      <c r="A2600" s="14"/>
      <c r="D2600" s="18"/>
      <c r="I2600" s="12"/>
      <c r="J2600" s="16"/>
    </row>
    <row r="2601" ht="15.75" customHeight="1">
      <c r="A2601" s="14"/>
      <c r="D2601" s="18"/>
      <c r="I2601" s="12"/>
      <c r="J2601" s="16"/>
    </row>
    <row r="2602" ht="15.75" customHeight="1">
      <c r="A2602" s="14"/>
      <c r="D2602" s="18"/>
      <c r="I2602" s="12"/>
      <c r="J2602" s="16"/>
    </row>
    <row r="2603" ht="15.75" customHeight="1">
      <c r="A2603" s="14"/>
      <c r="D2603" s="18"/>
      <c r="I2603" s="12"/>
      <c r="J2603" s="16"/>
    </row>
    <row r="2604" ht="15.75" customHeight="1">
      <c r="A2604" s="14"/>
      <c r="D2604" s="18"/>
      <c r="I2604" s="12"/>
      <c r="J2604" s="16"/>
    </row>
    <row r="2605" ht="15.75" customHeight="1">
      <c r="A2605" s="14"/>
      <c r="D2605" s="18"/>
      <c r="I2605" s="12"/>
      <c r="J2605" s="16"/>
    </row>
    <row r="2606" ht="15.75" customHeight="1">
      <c r="A2606" s="14"/>
      <c r="D2606" s="18"/>
      <c r="I2606" s="12"/>
      <c r="J2606" s="16"/>
    </row>
    <row r="2607" ht="15.75" customHeight="1">
      <c r="A2607" s="14"/>
      <c r="D2607" s="18"/>
      <c r="I2607" s="12"/>
      <c r="J2607" s="16"/>
    </row>
    <row r="2608" ht="15.75" customHeight="1">
      <c r="A2608" s="14"/>
      <c r="D2608" s="18"/>
      <c r="I2608" s="12"/>
      <c r="J2608" s="16"/>
    </row>
    <row r="2609" ht="15.75" customHeight="1">
      <c r="A2609" s="14"/>
      <c r="D2609" s="18"/>
      <c r="I2609" s="12"/>
      <c r="J2609" s="16"/>
    </row>
    <row r="2610" ht="15.75" customHeight="1">
      <c r="A2610" s="14"/>
      <c r="D2610" s="18"/>
      <c r="I2610" s="12"/>
      <c r="J2610" s="16"/>
    </row>
    <row r="2611" ht="15.75" customHeight="1">
      <c r="A2611" s="14"/>
      <c r="D2611" s="18"/>
      <c r="I2611" s="12"/>
      <c r="J2611" s="16"/>
    </row>
    <row r="2612" ht="15.75" customHeight="1">
      <c r="A2612" s="14"/>
      <c r="D2612" s="18"/>
      <c r="I2612" s="12"/>
      <c r="J2612" s="16"/>
    </row>
    <row r="2613" ht="15.75" customHeight="1">
      <c r="A2613" s="14"/>
      <c r="D2613" s="18"/>
      <c r="I2613" s="12"/>
      <c r="J2613" s="16"/>
    </row>
    <row r="2614" ht="15.75" customHeight="1">
      <c r="A2614" s="14"/>
      <c r="D2614" s="18"/>
      <c r="I2614" s="12"/>
      <c r="J2614" s="16"/>
    </row>
    <row r="2615" ht="15.75" customHeight="1">
      <c r="A2615" s="14"/>
      <c r="D2615" s="18"/>
      <c r="I2615" s="12"/>
      <c r="J2615" s="16"/>
    </row>
    <row r="2616" ht="15.75" customHeight="1">
      <c r="A2616" s="14"/>
      <c r="D2616" s="18"/>
      <c r="I2616" s="12"/>
      <c r="J2616" s="16"/>
    </row>
    <row r="2617" ht="15.75" customHeight="1">
      <c r="A2617" s="14"/>
      <c r="D2617" s="18"/>
      <c r="I2617" s="12"/>
      <c r="J2617" s="16"/>
    </row>
    <row r="2618" ht="15.75" customHeight="1">
      <c r="A2618" s="14"/>
      <c r="D2618" s="18"/>
      <c r="I2618" s="12"/>
      <c r="J2618" s="16"/>
    </row>
    <row r="2619" ht="15.75" customHeight="1">
      <c r="A2619" s="14"/>
      <c r="D2619" s="18"/>
      <c r="I2619" s="12"/>
      <c r="J2619" s="16"/>
    </row>
    <row r="2620" ht="15.75" customHeight="1">
      <c r="A2620" s="14"/>
      <c r="D2620" s="18"/>
      <c r="I2620" s="12"/>
      <c r="J2620" s="16"/>
    </row>
    <row r="2621" ht="15.75" customHeight="1">
      <c r="A2621" s="14"/>
      <c r="D2621" s="18"/>
      <c r="I2621" s="12"/>
      <c r="J2621" s="16"/>
    </row>
    <row r="2622" ht="15.75" customHeight="1">
      <c r="A2622" s="14"/>
      <c r="D2622" s="18"/>
      <c r="I2622" s="12"/>
      <c r="J2622" s="16"/>
    </row>
    <row r="2623" ht="15.75" customHeight="1">
      <c r="A2623" s="14"/>
      <c r="D2623" s="18"/>
      <c r="I2623" s="12"/>
      <c r="J2623" s="16"/>
    </row>
    <row r="2624" ht="15.75" customHeight="1">
      <c r="A2624" s="14"/>
      <c r="D2624" s="18"/>
      <c r="I2624" s="12"/>
      <c r="J2624" s="16"/>
    </row>
    <row r="2625" ht="15.75" customHeight="1">
      <c r="A2625" s="14"/>
      <c r="D2625" s="18"/>
      <c r="I2625" s="12"/>
      <c r="J2625" s="16"/>
    </row>
    <row r="2626" ht="15.75" customHeight="1">
      <c r="A2626" s="14"/>
      <c r="D2626" s="18"/>
      <c r="I2626" s="12"/>
      <c r="J2626" s="16"/>
    </row>
    <row r="2627" ht="15.75" customHeight="1">
      <c r="A2627" s="14"/>
      <c r="D2627" s="18"/>
      <c r="I2627" s="12"/>
      <c r="J2627" s="16"/>
    </row>
    <row r="2628" ht="15.75" customHeight="1">
      <c r="A2628" s="14"/>
      <c r="D2628" s="18"/>
      <c r="I2628" s="12"/>
      <c r="J2628" s="16"/>
    </row>
    <row r="2629" ht="15.75" customHeight="1">
      <c r="A2629" s="14"/>
      <c r="D2629" s="18"/>
      <c r="I2629" s="12"/>
      <c r="J2629" s="16"/>
    </row>
    <row r="2630" ht="15.75" customHeight="1">
      <c r="A2630" s="14"/>
      <c r="D2630" s="18"/>
      <c r="I2630" s="12"/>
      <c r="J2630" s="16"/>
    </row>
    <row r="2631" ht="15.75" customHeight="1">
      <c r="A2631" s="14"/>
      <c r="D2631" s="18"/>
      <c r="I2631" s="12"/>
      <c r="J2631" s="16"/>
    </row>
    <row r="2632" ht="15.75" customHeight="1">
      <c r="A2632" s="14"/>
      <c r="D2632" s="18"/>
      <c r="I2632" s="12"/>
      <c r="J2632" s="16"/>
    </row>
    <row r="2633" ht="15.75" customHeight="1">
      <c r="A2633" s="14"/>
      <c r="D2633" s="18"/>
      <c r="I2633" s="12"/>
      <c r="J2633" s="16"/>
    </row>
    <row r="2634" ht="15.75" customHeight="1">
      <c r="A2634" s="14"/>
      <c r="D2634" s="18"/>
      <c r="I2634" s="12"/>
      <c r="J2634" s="16"/>
    </row>
    <row r="2635" ht="15.75" customHeight="1">
      <c r="A2635" s="14"/>
      <c r="D2635" s="18"/>
      <c r="I2635" s="12"/>
      <c r="J2635" s="16"/>
    </row>
    <row r="2636" ht="15.75" customHeight="1">
      <c r="A2636" s="14"/>
      <c r="D2636" s="18"/>
      <c r="I2636" s="12"/>
      <c r="J2636" s="16"/>
    </row>
    <row r="2637" ht="15.75" customHeight="1">
      <c r="A2637" s="14"/>
      <c r="D2637" s="18"/>
      <c r="I2637" s="12"/>
      <c r="J2637" s="16"/>
    </row>
    <row r="2638" ht="15.75" customHeight="1">
      <c r="A2638" s="14"/>
      <c r="D2638" s="18"/>
      <c r="I2638" s="12"/>
      <c r="J2638" s="16"/>
    </row>
    <row r="2639" ht="15.75" customHeight="1">
      <c r="A2639" s="14"/>
      <c r="D2639" s="18"/>
      <c r="I2639" s="12"/>
      <c r="J2639" s="16"/>
    </row>
    <row r="2640" ht="15.75" customHeight="1">
      <c r="A2640" s="14"/>
      <c r="D2640" s="18"/>
      <c r="I2640" s="12"/>
      <c r="J2640" s="16"/>
    </row>
    <row r="2641" ht="15.75" customHeight="1">
      <c r="A2641" s="14"/>
      <c r="D2641" s="18"/>
      <c r="I2641" s="12"/>
      <c r="J2641" s="16"/>
    </row>
    <row r="2642" ht="15.75" customHeight="1">
      <c r="A2642" s="14"/>
      <c r="D2642" s="18"/>
      <c r="I2642" s="12"/>
      <c r="J2642" s="16"/>
    </row>
    <row r="2643" ht="15.75" customHeight="1">
      <c r="A2643" s="14"/>
      <c r="D2643" s="18"/>
      <c r="I2643" s="12"/>
      <c r="J2643" s="16"/>
    </row>
    <row r="2644" ht="15.75" customHeight="1">
      <c r="A2644" s="14"/>
      <c r="D2644" s="18"/>
      <c r="I2644" s="12"/>
      <c r="J2644" s="16"/>
    </row>
    <row r="2645" ht="15.75" customHeight="1">
      <c r="A2645" s="14"/>
      <c r="D2645" s="18"/>
      <c r="I2645" s="12"/>
      <c r="J2645" s="16"/>
    </row>
    <row r="2646" ht="15.75" customHeight="1">
      <c r="A2646" s="14"/>
      <c r="D2646" s="18"/>
      <c r="I2646" s="12"/>
      <c r="J2646" s="16"/>
    </row>
    <row r="2647" ht="15.75" customHeight="1">
      <c r="A2647" s="14"/>
      <c r="D2647" s="18"/>
      <c r="I2647" s="12"/>
      <c r="J2647" s="16"/>
    </row>
    <row r="2648" ht="15.75" customHeight="1">
      <c r="A2648" s="14"/>
      <c r="D2648" s="18"/>
      <c r="I2648" s="12"/>
      <c r="J2648" s="16"/>
    </row>
    <row r="2649" ht="15.75" customHeight="1">
      <c r="A2649" s="14"/>
      <c r="D2649" s="18"/>
      <c r="I2649" s="12"/>
      <c r="J2649" s="16"/>
    </row>
    <row r="2650" ht="15.75" customHeight="1">
      <c r="A2650" s="14"/>
      <c r="D2650" s="18"/>
      <c r="I2650" s="12"/>
      <c r="J2650" s="16"/>
    </row>
    <row r="2651" ht="15.75" customHeight="1">
      <c r="A2651" s="14"/>
      <c r="D2651" s="18"/>
      <c r="I2651" s="12"/>
      <c r="J2651" s="16"/>
    </row>
    <row r="2652" ht="15.75" customHeight="1">
      <c r="A2652" s="14"/>
      <c r="I2652" s="12"/>
      <c r="J2652" s="16"/>
    </row>
    <row r="2653" ht="15.75" customHeight="1">
      <c r="A2653" s="14"/>
      <c r="D2653" s="18"/>
      <c r="I2653" s="12"/>
      <c r="J2653" s="16"/>
    </row>
    <row r="2654" ht="15.75" customHeight="1">
      <c r="A2654" s="14"/>
      <c r="D2654" s="18"/>
      <c r="I2654" s="12"/>
      <c r="J2654" s="16"/>
    </row>
    <row r="2655" ht="15.75" customHeight="1">
      <c r="A2655" s="14"/>
      <c r="D2655" s="18"/>
      <c r="I2655" s="12"/>
      <c r="J2655" s="16"/>
    </row>
    <row r="2656" ht="15.75" customHeight="1">
      <c r="A2656" s="14"/>
      <c r="D2656" s="18"/>
      <c r="I2656" s="12"/>
      <c r="J2656" s="16"/>
    </row>
    <row r="2657" ht="15.75" customHeight="1">
      <c r="A2657" s="14"/>
      <c r="D2657" s="18"/>
      <c r="I2657" s="12"/>
      <c r="J2657" s="16"/>
    </row>
    <row r="2658" ht="15.75" customHeight="1">
      <c r="A2658" s="14"/>
      <c r="D2658" s="18"/>
      <c r="I2658" s="12"/>
      <c r="J2658" s="16"/>
    </row>
    <row r="2659" ht="15.75" customHeight="1">
      <c r="A2659" s="14"/>
      <c r="D2659" s="18"/>
      <c r="I2659" s="12"/>
      <c r="J2659" s="16"/>
    </row>
    <row r="2660" ht="15.75" customHeight="1">
      <c r="A2660" s="14"/>
      <c r="D2660" s="18"/>
      <c r="I2660" s="12"/>
      <c r="J2660" s="16"/>
    </row>
    <row r="2661" ht="15.75" customHeight="1">
      <c r="A2661" s="14"/>
      <c r="D2661" s="18"/>
      <c r="I2661" s="12"/>
      <c r="J2661" s="16"/>
    </row>
    <row r="2662" ht="15.75" customHeight="1">
      <c r="A2662" s="14"/>
      <c r="D2662" s="18"/>
      <c r="I2662" s="12"/>
      <c r="J2662" s="16"/>
    </row>
    <row r="2663" ht="15.75" customHeight="1">
      <c r="A2663" s="14"/>
      <c r="D2663" s="18"/>
      <c r="I2663" s="12"/>
      <c r="J2663" s="16"/>
    </row>
    <row r="2664" ht="15.75" customHeight="1">
      <c r="A2664" s="14"/>
      <c r="D2664" s="18"/>
      <c r="I2664" s="12"/>
      <c r="J2664" s="16"/>
    </row>
    <row r="2665" ht="15.75" customHeight="1">
      <c r="A2665" s="14"/>
      <c r="D2665" s="18"/>
      <c r="I2665" s="12"/>
      <c r="J2665" s="16"/>
    </row>
    <row r="2666" ht="15.75" customHeight="1">
      <c r="A2666" s="14"/>
      <c r="D2666" s="18"/>
      <c r="I2666" s="12"/>
      <c r="J2666" s="16"/>
    </row>
    <row r="2667" ht="15.75" customHeight="1">
      <c r="A2667" s="14"/>
      <c r="D2667" s="18"/>
      <c r="I2667" s="12"/>
      <c r="J2667" s="16"/>
    </row>
    <row r="2668" ht="15.75" customHeight="1">
      <c r="A2668" s="14"/>
      <c r="D2668" s="18"/>
      <c r="I2668" s="12"/>
      <c r="J2668" s="16"/>
    </row>
    <row r="2669" ht="15.75" customHeight="1">
      <c r="A2669" s="14"/>
      <c r="D2669" s="18"/>
      <c r="I2669" s="12"/>
      <c r="J2669" s="16"/>
    </row>
    <row r="2670" ht="15.75" customHeight="1">
      <c r="A2670" s="14"/>
      <c r="D2670" s="18"/>
      <c r="I2670" s="12"/>
      <c r="J2670" s="16"/>
    </row>
    <row r="2671" ht="15.75" customHeight="1">
      <c r="A2671" s="14"/>
      <c r="D2671" s="18"/>
      <c r="I2671" s="12"/>
      <c r="J2671" s="16"/>
    </row>
    <row r="2672" ht="15.75" customHeight="1">
      <c r="A2672" s="14"/>
      <c r="D2672" s="18"/>
      <c r="I2672" s="12"/>
      <c r="J2672" s="16"/>
    </row>
    <row r="2673" ht="15.75" customHeight="1">
      <c r="A2673" s="14"/>
      <c r="D2673" s="18"/>
      <c r="I2673" s="12"/>
      <c r="J2673" s="16"/>
    </row>
    <row r="2674" ht="15.75" customHeight="1">
      <c r="A2674" s="14"/>
      <c r="D2674" s="18"/>
      <c r="I2674" s="12"/>
      <c r="J2674" s="16"/>
    </row>
    <row r="2675" ht="15.75" customHeight="1">
      <c r="A2675" s="14"/>
      <c r="D2675" s="18"/>
      <c r="I2675" s="12"/>
      <c r="J2675" s="16"/>
    </row>
    <row r="2676" ht="15.75" customHeight="1">
      <c r="A2676" s="14"/>
      <c r="D2676" s="18"/>
      <c r="I2676" s="12"/>
      <c r="J2676" s="16"/>
    </row>
    <row r="2677" ht="15.75" customHeight="1">
      <c r="A2677" s="14"/>
      <c r="D2677" s="18"/>
      <c r="I2677" s="12"/>
      <c r="J2677" s="16"/>
    </row>
    <row r="2678" ht="15.75" customHeight="1">
      <c r="A2678" s="14"/>
      <c r="D2678" s="18"/>
      <c r="I2678" s="12"/>
      <c r="J2678" s="16"/>
    </row>
    <row r="2679" ht="15.75" customHeight="1">
      <c r="A2679" s="14"/>
      <c r="D2679" s="18"/>
      <c r="I2679" s="12"/>
      <c r="J2679" s="16"/>
    </row>
    <row r="2680" ht="15.75" customHeight="1">
      <c r="A2680" s="14"/>
      <c r="D2680" s="18"/>
      <c r="I2680" s="12"/>
      <c r="J2680" s="16"/>
    </row>
    <row r="2681" ht="15.75" customHeight="1">
      <c r="A2681" s="14"/>
      <c r="D2681" s="18"/>
      <c r="I2681" s="12"/>
      <c r="J2681" s="16"/>
    </row>
    <row r="2682" ht="15.75" customHeight="1">
      <c r="A2682" s="14"/>
      <c r="D2682" s="18"/>
      <c r="I2682" s="12"/>
      <c r="J2682" s="16"/>
    </row>
    <row r="2683" ht="15.75" customHeight="1">
      <c r="A2683" s="14"/>
      <c r="D2683" s="18"/>
      <c r="I2683" s="12"/>
      <c r="J2683" s="16"/>
    </row>
    <row r="2684" ht="15.75" customHeight="1">
      <c r="A2684" s="14"/>
      <c r="D2684" s="18"/>
      <c r="I2684" s="12"/>
      <c r="J2684" s="16"/>
    </row>
    <row r="2685" ht="15.75" customHeight="1">
      <c r="A2685" s="14"/>
      <c r="D2685" s="18"/>
      <c r="I2685" s="12"/>
      <c r="J2685" s="16"/>
    </row>
    <row r="2686" ht="15.75" customHeight="1">
      <c r="A2686" s="14"/>
      <c r="D2686" s="18"/>
      <c r="I2686" s="12"/>
      <c r="J2686" s="16"/>
    </row>
    <row r="2687" ht="15.75" customHeight="1">
      <c r="A2687" s="14"/>
      <c r="D2687" s="18"/>
      <c r="I2687" s="12"/>
      <c r="J2687" s="16"/>
    </row>
    <row r="2688" ht="15.75" customHeight="1">
      <c r="A2688" s="14"/>
      <c r="D2688" s="18"/>
      <c r="I2688" s="12"/>
      <c r="J2688" s="16"/>
    </row>
    <row r="2689" ht="15.75" customHeight="1">
      <c r="A2689" s="14"/>
      <c r="D2689" s="18"/>
      <c r="I2689" s="12"/>
      <c r="J2689" s="16"/>
    </row>
    <row r="2690" ht="15.75" customHeight="1">
      <c r="A2690" s="14"/>
      <c r="D2690" s="18"/>
      <c r="I2690" s="12"/>
      <c r="J2690" s="16"/>
    </row>
    <row r="2691" ht="15.75" customHeight="1">
      <c r="A2691" s="14"/>
      <c r="D2691" s="18"/>
      <c r="I2691" s="12"/>
      <c r="J2691" s="16"/>
    </row>
    <row r="2692" ht="15.75" customHeight="1">
      <c r="A2692" s="14"/>
      <c r="D2692" s="18"/>
      <c r="I2692" s="12"/>
      <c r="J2692" s="16"/>
    </row>
    <row r="2693" ht="15.75" customHeight="1">
      <c r="A2693" s="14"/>
      <c r="D2693" s="18"/>
      <c r="I2693" s="12"/>
      <c r="J2693" s="16"/>
    </row>
    <row r="2694" ht="15.75" customHeight="1">
      <c r="A2694" s="14"/>
      <c r="D2694" s="18"/>
      <c r="I2694" s="12"/>
      <c r="J2694" s="16"/>
    </row>
    <row r="2695" ht="15.75" customHeight="1">
      <c r="A2695" s="14"/>
      <c r="D2695" s="18"/>
      <c r="I2695" s="12"/>
      <c r="J2695" s="16"/>
    </row>
    <row r="2696" ht="15.75" customHeight="1">
      <c r="A2696" s="14"/>
      <c r="D2696" s="18"/>
      <c r="I2696" s="12"/>
      <c r="J2696" s="16"/>
    </row>
    <row r="2697" ht="15.75" customHeight="1">
      <c r="A2697" s="14"/>
      <c r="D2697" s="18"/>
      <c r="I2697" s="12"/>
      <c r="J2697" s="16"/>
    </row>
    <row r="2698" ht="15.75" customHeight="1">
      <c r="A2698" s="14"/>
      <c r="D2698" s="18"/>
      <c r="I2698" s="12"/>
      <c r="J2698" s="16"/>
    </row>
    <row r="2699" ht="15.75" customHeight="1">
      <c r="A2699" s="14"/>
      <c r="D2699" s="18"/>
      <c r="I2699" s="12"/>
      <c r="J2699" s="16"/>
    </row>
    <row r="2700" ht="15.75" customHeight="1">
      <c r="A2700" s="14"/>
      <c r="D2700" s="18"/>
      <c r="I2700" s="12"/>
      <c r="J2700" s="16"/>
    </row>
    <row r="2701" ht="15.75" customHeight="1">
      <c r="A2701" s="14"/>
      <c r="D2701" s="18"/>
      <c r="I2701" s="12"/>
      <c r="J2701" s="16"/>
    </row>
    <row r="2702" ht="15.75" customHeight="1">
      <c r="A2702" s="14"/>
      <c r="D2702" s="18"/>
      <c r="I2702" s="12"/>
      <c r="J2702" s="16"/>
    </row>
    <row r="2703" ht="15.75" customHeight="1">
      <c r="A2703" s="14"/>
      <c r="D2703" s="18"/>
      <c r="I2703" s="12"/>
      <c r="J2703" s="16"/>
    </row>
    <row r="2704" ht="15.75" customHeight="1">
      <c r="A2704" s="14"/>
      <c r="D2704" s="18"/>
      <c r="I2704" s="12"/>
      <c r="J2704" s="16"/>
    </row>
    <row r="2705" ht="15.75" customHeight="1">
      <c r="A2705" s="14"/>
      <c r="D2705" s="18"/>
      <c r="I2705" s="12"/>
      <c r="J2705" s="16"/>
    </row>
    <row r="2706" ht="15.75" customHeight="1">
      <c r="A2706" s="14"/>
      <c r="D2706" s="18"/>
      <c r="I2706" s="12"/>
      <c r="J2706" s="16"/>
    </row>
    <row r="2707" ht="15.75" customHeight="1">
      <c r="A2707" s="14"/>
      <c r="D2707" s="18"/>
      <c r="I2707" s="12"/>
      <c r="J2707" s="16"/>
    </row>
    <row r="2708" ht="15.75" customHeight="1">
      <c r="A2708" s="14"/>
      <c r="D2708" s="18"/>
      <c r="I2708" s="12"/>
      <c r="J2708" s="16"/>
    </row>
    <row r="2709" ht="15.75" customHeight="1">
      <c r="A2709" s="14"/>
      <c r="D2709" s="18"/>
      <c r="I2709" s="12"/>
      <c r="J2709" s="16"/>
    </row>
    <row r="2710" ht="15.75" customHeight="1">
      <c r="A2710" s="14"/>
      <c r="D2710" s="18"/>
      <c r="I2710" s="12"/>
      <c r="J2710" s="16"/>
    </row>
    <row r="2711" ht="15.75" customHeight="1">
      <c r="A2711" s="14"/>
      <c r="D2711" s="18"/>
      <c r="I2711" s="12"/>
      <c r="J2711" s="16"/>
    </row>
    <row r="2712" ht="15.75" customHeight="1">
      <c r="A2712" s="14"/>
      <c r="D2712" s="18"/>
      <c r="I2712" s="12"/>
      <c r="J2712" s="16"/>
    </row>
    <row r="2713" ht="15.75" customHeight="1">
      <c r="A2713" s="14"/>
      <c r="D2713" s="18"/>
      <c r="I2713" s="12"/>
      <c r="J2713" s="16"/>
    </row>
    <row r="2714" ht="15.75" customHeight="1">
      <c r="A2714" s="14"/>
      <c r="D2714" s="18"/>
      <c r="I2714" s="12"/>
      <c r="J2714" s="16"/>
    </row>
    <row r="2715" ht="15.75" customHeight="1">
      <c r="A2715" s="14"/>
      <c r="D2715" s="18"/>
      <c r="I2715" s="12"/>
      <c r="J2715" s="16"/>
    </row>
    <row r="2716" ht="15.75" customHeight="1">
      <c r="A2716" s="14"/>
      <c r="I2716" s="12"/>
      <c r="J2716" s="16"/>
    </row>
    <row r="2717" ht="15.75" customHeight="1">
      <c r="A2717" s="14"/>
      <c r="D2717" s="18"/>
      <c r="I2717" s="12"/>
      <c r="J2717" s="16"/>
    </row>
    <row r="2718" ht="15.75" customHeight="1">
      <c r="A2718" s="14"/>
      <c r="D2718" s="18"/>
      <c r="I2718" s="12"/>
      <c r="J2718" s="16"/>
    </row>
    <row r="2719" ht="15.75" customHeight="1">
      <c r="A2719" s="14"/>
      <c r="D2719" s="18"/>
      <c r="I2719" s="12"/>
      <c r="J2719" s="16"/>
    </row>
    <row r="2720" ht="15.75" customHeight="1">
      <c r="A2720" s="14"/>
      <c r="D2720" s="18"/>
      <c r="I2720" s="12"/>
      <c r="J2720" s="16"/>
    </row>
    <row r="2721" ht="15.75" customHeight="1">
      <c r="A2721" s="14"/>
      <c r="D2721" s="18"/>
      <c r="I2721" s="12"/>
      <c r="J2721" s="16"/>
    </row>
    <row r="2722" ht="15.75" customHeight="1">
      <c r="A2722" s="14"/>
      <c r="D2722" s="18"/>
      <c r="I2722" s="12"/>
      <c r="J2722" s="16"/>
    </row>
    <row r="2723" ht="15.75" customHeight="1">
      <c r="A2723" s="14"/>
      <c r="D2723" s="18"/>
      <c r="I2723" s="12"/>
      <c r="J2723" s="16"/>
    </row>
    <row r="2724" ht="15.75" customHeight="1">
      <c r="A2724" s="14"/>
      <c r="D2724" s="18"/>
      <c r="I2724" s="12"/>
      <c r="J2724" s="16"/>
    </row>
    <row r="2725" ht="15.75" customHeight="1">
      <c r="A2725" s="14"/>
      <c r="D2725" s="18"/>
      <c r="I2725" s="12"/>
      <c r="J2725" s="16"/>
    </row>
    <row r="2726" ht="15.75" customHeight="1">
      <c r="A2726" s="14"/>
      <c r="D2726" s="18"/>
      <c r="I2726" s="12"/>
      <c r="J2726" s="16"/>
    </row>
    <row r="2727" ht="15.75" customHeight="1">
      <c r="A2727" s="14"/>
      <c r="D2727" s="18"/>
      <c r="I2727" s="12"/>
      <c r="J2727" s="16"/>
    </row>
    <row r="2728" ht="15.75" customHeight="1">
      <c r="A2728" s="14"/>
      <c r="D2728" s="18"/>
      <c r="I2728" s="12"/>
      <c r="J2728" s="16"/>
    </row>
    <row r="2729" ht="15.75" customHeight="1">
      <c r="A2729" s="14"/>
      <c r="D2729" s="18"/>
      <c r="I2729" s="12"/>
      <c r="J2729" s="16"/>
    </row>
    <row r="2730" ht="15.75" customHeight="1">
      <c r="A2730" s="14"/>
      <c r="D2730" s="18"/>
      <c r="I2730" s="12"/>
      <c r="J2730" s="16"/>
    </row>
    <row r="2731" ht="15.75" customHeight="1">
      <c r="A2731" s="14"/>
      <c r="D2731" s="18"/>
      <c r="I2731" s="12"/>
      <c r="J2731" s="16"/>
    </row>
    <row r="2732" ht="15.75" customHeight="1">
      <c r="A2732" s="14"/>
      <c r="D2732" s="18"/>
      <c r="I2732" s="12"/>
      <c r="J2732" s="16"/>
    </row>
    <row r="2733" ht="15.75" customHeight="1">
      <c r="A2733" s="14"/>
      <c r="D2733" s="18"/>
      <c r="I2733" s="12"/>
      <c r="J2733" s="16"/>
    </row>
    <row r="2734" ht="15.75" customHeight="1">
      <c r="A2734" s="14"/>
      <c r="D2734" s="18"/>
      <c r="I2734" s="12"/>
      <c r="J2734" s="16"/>
    </row>
    <row r="2735" ht="15.75" customHeight="1">
      <c r="A2735" s="14"/>
      <c r="D2735" s="18"/>
      <c r="I2735" s="12"/>
      <c r="J2735" s="16"/>
    </row>
    <row r="2736" ht="15.75" customHeight="1">
      <c r="A2736" s="14"/>
      <c r="D2736" s="18"/>
      <c r="I2736" s="12"/>
      <c r="J2736" s="16"/>
    </row>
    <row r="2737" ht="15.75" customHeight="1">
      <c r="A2737" s="14"/>
      <c r="I2737" s="12"/>
      <c r="J2737" s="16"/>
    </row>
    <row r="2738" ht="15.75" customHeight="1">
      <c r="A2738" s="14"/>
      <c r="D2738" s="18"/>
      <c r="I2738" s="12"/>
      <c r="J2738" s="16"/>
    </row>
    <row r="2739" ht="15.75" customHeight="1">
      <c r="A2739" s="14"/>
      <c r="D2739" s="18"/>
      <c r="I2739" s="12"/>
      <c r="J2739" s="16"/>
    </row>
    <row r="2740" ht="15.75" customHeight="1">
      <c r="A2740" s="14"/>
      <c r="D2740" s="18"/>
      <c r="I2740" s="12"/>
      <c r="J2740" s="16"/>
    </row>
    <row r="2741" ht="15.75" customHeight="1">
      <c r="A2741" s="14"/>
      <c r="D2741" s="18"/>
      <c r="I2741" s="12"/>
      <c r="J2741" s="16"/>
    </row>
    <row r="2742" ht="15.75" customHeight="1">
      <c r="A2742" s="14"/>
      <c r="D2742" s="18"/>
      <c r="I2742" s="12"/>
      <c r="J2742" s="16"/>
    </row>
    <row r="2743" ht="15.75" customHeight="1">
      <c r="A2743" s="14"/>
      <c r="D2743" s="18"/>
      <c r="I2743" s="12"/>
      <c r="J2743" s="16"/>
    </row>
    <row r="2744" ht="15.75" customHeight="1">
      <c r="A2744" s="14"/>
      <c r="D2744" s="18"/>
      <c r="I2744" s="12"/>
      <c r="J2744" s="16"/>
    </row>
    <row r="2745" ht="15.75" customHeight="1">
      <c r="A2745" s="14"/>
      <c r="D2745" s="18"/>
      <c r="I2745" s="12"/>
      <c r="J2745" s="16"/>
    </row>
    <row r="2746" ht="15.75" customHeight="1">
      <c r="A2746" s="14"/>
      <c r="D2746" s="18"/>
      <c r="I2746" s="12"/>
      <c r="J2746" s="16"/>
    </row>
    <row r="2747" ht="15.75" customHeight="1">
      <c r="A2747" s="14"/>
      <c r="D2747" s="18"/>
      <c r="I2747" s="12"/>
      <c r="J2747" s="16"/>
    </row>
    <row r="2748" ht="15.75" customHeight="1">
      <c r="A2748" s="14"/>
      <c r="D2748" s="18"/>
      <c r="I2748" s="12"/>
      <c r="J2748" s="16"/>
    </row>
    <row r="2749" ht="15.75" customHeight="1">
      <c r="A2749" s="14"/>
      <c r="D2749" s="18"/>
      <c r="I2749" s="12"/>
      <c r="J2749" s="16"/>
    </row>
    <row r="2750" ht="15.75" customHeight="1">
      <c r="A2750" s="14"/>
      <c r="D2750" s="18"/>
      <c r="I2750" s="12"/>
      <c r="J2750" s="16"/>
    </row>
    <row r="2751" ht="15.75" customHeight="1">
      <c r="A2751" s="14"/>
      <c r="D2751" s="18"/>
      <c r="I2751" s="12"/>
      <c r="J2751" s="16"/>
    </row>
    <row r="2752" ht="15.75" customHeight="1">
      <c r="A2752" s="14"/>
      <c r="D2752" s="18"/>
      <c r="I2752" s="12"/>
      <c r="J2752" s="16"/>
    </row>
    <row r="2753" ht="15.75" customHeight="1">
      <c r="A2753" s="14"/>
      <c r="D2753" s="18"/>
      <c r="I2753" s="12"/>
      <c r="J2753" s="16"/>
    </row>
    <row r="2754" ht="15.75" customHeight="1">
      <c r="A2754" s="14"/>
      <c r="D2754" s="18"/>
      <c r="I2754" s="12"/>
      <c r="J2754" s="16"/>
    </row>
    <row r="2755" ht="15.75" customHeight="1">
      <c r="A2755" s="14"/>
      <c r="D2755" s="18"/>
      <c r="I2755" s="12"/>
      <c r="J2755" s="16"/>
    </row>
    <row r="2756" ht="15.75" customHeight="1">
      <c r="A2756" s="14"/>
      <c r="D2756" s="18"/>
      <c r="I2756" s="12"/>
      <c r="J2756" s="16"/>
    </row>
    <row r="2757" ht="15.75" customHeight="1">
      <c r="A2757" s="14"/>
      <c r="D2757" s="18"/>
      <c r="I2757" s="12"/>
      <c r="J2757" s="16"/>
    </row>
    <row r="2758" ht="15.75" customHeight="1">
      <c r="A2758" s="14"/>
      <c r="D2758" s="18"/>
      <c r="I2758" s="12"/>
      <c r="J2758" s="16"/>
    </row>
    <row r="2759" ht="15.75" customHeight="1">
      <c r="A2759" s="14"/>
      <c r="D2759" s="18"/>
      <c r="I2759" s="12"/>
      <c r="J2759" s="16"/>
    </row>
    <row r="2760" ht="15.75" customHeight="1">
      <c r="A2760" s="14"/>
      <c r="D2760" s="18"/>
      <c r="I2760" s="12"/>
      <c r="J2760" s="16"/>
    </row>
    <row r="2761" ht="15.75" customHeight="1">
      <c r="A2761" s="14"/>
      <c r="D2761" s="18"/>
      <c r="I2761" s="12"/>
      <c r="J2761" s="16"/>
    </row>
    <row r="2762" ht="15.75" customHeight="1">
      <c r="A2762" s="14"/>
      <c r="D2762" s="18"/>
      <c r="I2762" s="12"/>
      <c r="J2762" s="16"/>
    </row>
    <row r="2763" ht="15.75" customHeight="1">
      <c r="A2763" s="14"/>
      <c r="D2763" s="18"/>
      <c r="I2763" s="12"/>
      <c r="J2763" s="16"/>
    </row>
    <row r="2764" ht="15.75" customHeight="1">
      <c r="A2764" s="14"/>
      <c r="D2764" s="18"/>
      <c r="I2764" s="12"/>
      <c r="J2764" s="16"/>
    </row>
    <row r="2765" ht="15.75" customHeight="1">
      <c r="A2765" s="14"/>
      <c r="D2765" s="18"/>
      <c r="I2765" s="12"/>
      <c r="J2765" s="16"/>
    </row>
    <row r="2766" ht="15.75" customHeight="1">
      <c r="A2766" s="14"/>
      <c r="D2766" s="18"/>
      <c r="I2766" s="12"/>
      <c r="J2766" s="16"/>
    </row>
    <row r="2767" ht="15.75" customHeight="1">
      <c r="A2767" s="14"/>
      <c r="D2767" s="18"/>
      <c r="I2767" s="12"/>
      <c r="J2767" s="16"/>
    </row>
    <row r="2768" ht="15.75" customHeight="1">
      <c r="A2768" s="14"/>
      <c r="D2768" s="18"/>
      <c r="I2768" s="12"/>
      <c r="J2768" s="16"/>
    </row>
    <row r="2769" ht="15.75" customHeight="1">
      <c r="A2769" s="14"/>
      <c r="D2769" s="18"/>
      <c r="I2769" s="12"/>
      <c r="J2769" s="16"/>
    </row>
    <row r="2770" ht="15.75" customHeight="1">
      <c r="A2770" s="14"/>
      <c r="D2770" s="18"/>
      <c r="I2770" s="12"/>
      <c r="J2770" s="16"/>
    </row>
    <row r="2771" ht="15.75" customHeight="1">
      <c r="A2771" s="14"/>
      <c r="D2771" s="18"/>
      <c r="I2771" s="12"/>
      <c r="J2771" s="16"/>
    </row>
    <row r="2772" ht="15.75" customHeight="1">
      <c r="A2772" s="14"/>
      <c r="D2772" s="18"/>
      <c r="I2772" s="12"/>
      <c r="J2772" s="16"/>
    </row>
    <row r="2773" ht="15.75" customHeight="1">
      <c r="A2773" s="14"/>
      <c r="D2773" s="18"/>
      <c r="I2773" s="12"/>
      <c r="J2773" s="16"/>
    </row>
    <row r="2774" ht="15.75" customHeight="1">
      <c r="A2774" s="14"/>
      <c r="D2774" s="18"/>
      <c r="I2774" s="12"/>
      <c r="J2774" s="16"/>
    </row>
    <row r="2775" ht="15.75" customHeight="1">
      <c r="A2775" s="14"/>
      <c r="D2775" s="18"/>
      <c r="I2775" s="12"/>
      <c r="J2775" s="16"/>
    </row>
    <row r="2776" ht="15.75" customHeight="1">
      <c r="A2776" s="14"/>
      <c r="D2776" s="18"/>
      <c r="I2776" s="12"/>
      <c r="J2776" s="16"/>
    </row>
    <row r="2777" ht="15.75" customHeight="1">
      <c r="A2777" s="14"/>
      <c r="D2777" s="18"/>
      <c r="I2777" s="12"/>
      <c r="J2777" s="16"/>
    </row>
    <row r="2778" ht="15.75" customHeight="1">
      <c r="A2778" s="14"/>
      <c r="D2778" s="18"/>
      <c r="I2778" s="12"/>
      <c r="J2778" s="16"/>
    </row>
    <row r="2779" ht="15.75" customHeight="1">
      <c r="A2779" s="14"/>
      <c r="I2779" s="12"/>
      <c r="J2779" s="16"/>
    </row>
    <row r="2780" ht="15.75" customHeight="1">
      <c r="A2780" s="14"/>
      <c r="D2780" s="18"/>
      <c r="I2780" s="12"/>
      <c r="J2780" s="16"/>
    </row>
    <row r="2781" ht="15.75" customHeight="1">
      <c r="A2781" s="14"/>
      <c r="D2781" s="18"/>
      <c r="I2781" s="12"/>
      <c r="J2781" s="16"/>
    </row>
    <row r="2782" ht="15.75" customHeight="1">
      <c r="A2782" s="14"/>
      <c r="D2782" s="18"/>
      <c r="I2782" s="12"/>
      <c r="J2782" s="16"/>
    </row>
    <row r="2783" ht="15.75" customHeight="1">
      <c r="A2783" s="14"/>
      <c r="D2783" s="18"/>
      <c r="I2783" s="12"/>
      <c r="J2783" s="16"/>
    </row>
    <row r="2784" ht="15.75" customHeight="1">
      <c r="A2784" s="14"/>
      <c r="D2784" s="18"/>
      <c r="I2784" s="12"/>
      <c r="J2784" s="16"/>
    </row>
    <row r="2785" ht="15.75" customHeight="1">
      <c r="A2785" s="14"/>
      <c r="D2785" s="18"/>
      <c r="I2785" s="12"/>
      <c r="J2785" s="16"/>
    </row>
    <row r="2786" ht="15.75" customHeight="1">
      <c r="A2786" s="14"/>
      <c r="D2786" s="18"/>
      <c r="I2786" s="12"/>
      <c r="J2786" s="16"/>
    </row>
    <row r="2787" ht="15.75" customHeight="1">
      <c r="A2787" s="14"/>
      <c r="D2787" s="18"/>
      <c r="I2787" s="12"/>
      <c r="J2787" s="16"/>
    </row>
    <row r="2788" ht="15.75" customHeight="1">
      <c r="A2788" s="14"/>
      <c r="D2788" s="18"/>
      <c r="I2788" s="12"/>
      <c r="J2788" s="16"/>
    </row>
    <row r="2789" ht="15.75" customHeight="1">
      <c r="A2789" s="14"/>
      <c r="D2789" s="18"/>
      <c r="I2789" s="12"/>
      <c r="J2789" s="16"/>
    </row>
    <row r="2790" ht="15.75" customHeight="1">
      <c r="A2790" s="14"/>
      <c r="D2790" s="18"/>
      <c r="I2790" s="12"/>
      <c r="J2790" s="16"/>
    </row>
    <row r="2791" ht="15.75" customHeight="1">
      <c r="A2791" s="14"/>
      <c r="D2791" s="18"/>
      <c r="I2791" s="12"/>
      <c r="J2791" s="16"/>
    </row>
    <row r="2792" ht="15.75" customHeight="1">
      <c r="A2792" s="14"/>
      <c r="D2792" s="18"/>
      <c r="I2792" s="12"/>
      <c r="J2792" s="16"/>
    </row>
    <row r="2793" ht="15.75" customHeight="1">
      <c r="A2793" s="14"/>
      <c r="D2793" s="18"/>
      <c r="I2793" s="12"/>
      <c r="J2793" s="16"/>
    </row>
    <row r="2794" ht="15.75" customHeight="1">
      <c r="A2794" s="14"/>
      <c r="D2794" s="18"/>
      <c r="I2794" s="12"/>
      <c r="J2794" s="16"/>
    </row>
    <row r="2795" ht="15.75" customHeight="1">
      <c r="A2795" s="14"/>
      <c r="D2795" s="18"/>
      <c r="I2795" s="12"/>
      <c r="J2795" s="16"/>
    </row>
    <row r="2796" ht="15.75" customHeight="1">
      <c r="A2796" s="14"/>
      <c r="D2796" s="18"/>
      <c r="I2796" s="12"/>
      <c r="J2796" s="16"/>
    </row>
    <row r="2797" ht="15.75" customHeight="1">
      <c r="A2797" s="14"/>
      <c r="D2797" s="18"/>
      <c r="I2797" s="12"/>
      <c r="J2797" s="16"/>
    </row>
    <row r="2798" ht="15.75" customHeight="1">
      <c r="A2798" s="14"/>
      <c r="D2798" s="18"/>
      <c r="I2798" s="12"/>
      <c r="J2798" s="16"/>
    </row>
    <row r="2799" ht="15.75" customHeight="1">
      <c r="A2799" s="14"/>
      <c r="D2799" s="18"/>
      <c r="I2799" s="12"/>
      <c r="J2799" s="16"/>
    </row>
    <row r="2800" ht="15.75" customHeight="1">
      <c r="A2800" s="14"/>
      <c r="D2800" s="18"/>
      <c r="I2800" s="12"/>
      <c r="J2800" s="16"/>
    </row>
    <row r="2801" ht="15.75" customHeight="1">
      <c r="A2801" s="14"/>
      <c r="D2801" s="18"/>
      <c r="I2801" s="12"/>
      <c r="J2801" s="16"/>
    </row>
    <row r="2802" ht="15.75" customHeight="1">
      <c r="A2802" s="14"/>
      <c r="D2802" s="18"/>
      <c r="I2802" s="12"/>
      <c r="J2802" s="16"/>
    </row>
    <row r="2803" ht="15.75" customHeight="1">
      <c r="A2803" s="14"/>
      <c r="D2803" s="18"/>
      <c r="I2803" s="12"/>
      <c r="J2803" s="16"/>
    </row>
    <row r="2804" ht="15.75" customHeight="1">
      <c r="A2804" s="14"/>
      <c r="D2804" s="18"/>
      <c r="I2804" s="12"/>
      <c r="J2804" s="16"/>
    </row>
    <row r="2805" ht="15.75" customHeight="1">
      <c r="A2805" s="14"/>
      <c r="D2805" s="18"/>
      <c r="I2805" s="12"/>
      <c r="J2805" s="16"/>
    </row>
    <row r="2806" ht="15.75" customHeight="1">
      <c r="A2806" s="14"/>
      <c r="D2806" s="18"/>
      <c r="I2806" s="12"/>
      <c r="J2806" s="16"/>
    </row>
    <row r="2807" ht="15.75" customHeight="1">
      <c r="A2807" s="14"/>
      <c r="D2807" s="18"/>
      <c r="I2807" s="12"/>
      <c r="J2807" s="16"/>
    </row>
    <row r="2808" ht="15.75" customHeight="1">
      <c r="A2808" s="14"/>
      <c r="D2808" s="18"/>
      <c r="I2808" s="12"/>
      <c r="J2808" s="16"/>
    </row>
    <row r="2809" ht="15.75" customHeight="1">
      <c r="A2809" s="14"/>
      <c r="D2809" s="18"/>
      <c r="I2809" s="12"/>
      <c r="J2809" s="16"/>
    </row>
    <row r="2810" ht="15.75" customHeight="1">
      <c r="A2810" s="14"/>
      <c r="D2810" s="18"/>
      <c r="I2810" s="12"/>
      <c r="J2810" s="16"/>
    </row>
    <row r="2811" ht="15.75" customHeight="1">
      <c r="A2811" s="14"/>
      <c r="D2811" s="18"/>
      <c r="I2811" s="12"/>
      <c r="J2811" s="16"/>
    </row>
    <row r="2812" ht="15.75" customHeight="1">
      <c r="A2812" s="14"/>
      <c r="D2812" s="18"/>
      <c r="I2812" s="12"/>
      <c r="J2812" s="16"/>
    </row>
    <row r="2813" ht="15.75" customHeight="1">
      <c r="A2813" s="14"/>
      <c r="D2813" s="18"/>
      <c r="I2813" s="12"/>
      <c r="J2813" s="16"/>
    </row>
    <row r="2814" ht="15.75" customHeight="1">
      <c r="A2814" s="14"/>
      <c r="D2814" s="18"/>
      <c r="I2814" s="12"/>
      <c r="J2814" s="16"/>
    </row>
    <row r="2815" ht="15.75" customHeight="1">
      <c r="A2815" s="14"/>
      <c r="D2815" s="18"/>
      <c r="I2815" s="12"/>
      <c r="J2815" s="16"/>
    </row>
    <row r="2816" ht="15.75" customHeight="1">
      <c r="A2816" s="14"/>
      <c r="D2816" s="18"/>
      <c r="I2816" s="12"/>
      <c r="J2816" s="16"/>
    </row>
    <row r="2817" ht="15.75" customHeight="1">
      <c r="A2817" s="14"/>
      <c r="D2817" s="18"/>
      <c r="I2817" s="12"/>
      <c r="J2817" s="16"/>
    </row>
    <row r="2818" ht="15.75" customHeight="1">
      <c r="A2818" s="14"/>
      <c r="D2818" s="18"/>
      <c r="I2818" s="12"/>
      <c r="J2818" s="16"/>
    </row>
    <row r="2819" ht="15.75" customHeight="1">
      <c r="A2819" s="14"/>
      <c r="D2819" s="18"/>
      <c r="I2819" s="12"/>
      <c r="J2819" s="16"/>
    </row>
    <row r="2820" ht="15.75" customHeight="1">
      <c r="A2820" s="14"/>
      <c r="D2820" s="18"/>
      <c r="I2820" s="12"/>
      <c r="J2820" s="16"/>
    </row>
    <row r="2821" ht="15.75" customHeight="1">
      <c r="A2821" s="14"/>
      <c r="D2821" s="18"/>
      <c r="I2821" s="12"/>
      <c r="J2821" s="16"/>
    </row>
    <row r="2822" ht="15.75" customHeight="1">
      <c r="A2822" s="14"/>
      <c r="D2822" s="18"/>
      <c r="I2822" s="12"/>
      <c r="J2822" s="16"/>
    </row>
    <row r="2823" ht="15.75" customHeight="1">
      <c r="A2823" s="14"/>
      <c r="I2823" s="12"/>
      <c r="J2823" s="16"/>
    </row>
    <row r="2824" ht="15.75" customHeight="1">
      <c r="A2824" s="14"/>
      <c r="D2824" s="18"/>
      <c r="I2824" s="12"/>
      <c r="J2824" s="16"/>
    </row>
    <row r="2825" ht="15.75" customHeight="1">
      <c r="A2825" s="14"/>
      <c r="D2825" s="18"/>
      <c r="I2825" s="12"/>
      <c r="J2825" s="16"/>
    </row>
    <row r="2826" ht="15.75" customHeight="1">
      <c r="A2826" s="14"/>
      <c r="D2826" s="18"/>
      <c r="I2826" s="12"/>
      <c r="J2826" s="16"/>
    </row>
    <row r="2827" ht="15.75" customHeight="1">
      <c r="A2827" s="14"/>
      <c r="D2827" s="18"/>
      <c r="I2827" s="12"/>
      <c r="J2827" s="16"/>
    </row>
    <row r="2828" ht="15.75" customHeight="1">
      <c r="A2828" s="14"/>
      <c r="D2828" s="18"/>
      <c r="I2828" s="12"/>
      <c r="J2828" s="16"/>
    </row>
    <row r="2829" ht="15.75" customHeight="1">
      <c r="A2829" s="14"/>
      <c r="D2829" s="18"/>
      <c r="I2829" s="12"/>
      <c r="J2829" s="16"/>
    </row>
    <row r="2830" ht="15.75" customHeight="1">
      <c r="A2830" s="14"/>
      <c r="D2830" s="18"/>
      <c r="I2830" s="12"/>
      <c r="J2830" s="16"/>
    </row>
    <row r="2831" ht="15.75" customHeight="1">
      <c r="A2831" s="14"/>
      <c r="D2831" s="18"/>
      <c r="I2831" s="12"/>
      <c r="J2831" s="16"/>
    </row>
    <row r="2832" ht="15.75" customHeight="1">
      <c r="A2832" s="14"/>
      <c r="D2832" s="18"/>
      <c r="I2832" s="12"/>
      <c r="J2832" s="16"/>
    </row>
    <row r="2833" ht="15.75" customHeight="1">
      <c r="A2833" s="14"/>
      <c r="D2833" s="18"/>
      <c r="I2833" s="12"/>
      <c r="J2833" s="16"/>
    </row>
    <row r="2834" ht="15.75" customHeight="1">
      <c r="A2834" s="14"/>
      <c r="D2834" s="18"/>
      <c r="I2834" s="12"/>
      <c r="J2834" s="16"/>
    </row>
    <row r="2835" ht="15.75" customHeight="1">
      <c r="A2835" s="14"/>
      <c r="D2835" s="18"/>
      <c r="I2835" s="12"/>
      <c r="J2835" s="16"/>
    </row>
    <row r="2836" ht="15.75" customHeight="1">
      <c r="A2836" s="14"/>
      <c r="D2836" s="18"/>
      <c r="I2836" s="12"/>
      <c r="J2836" s="16"/>
    </row>
    <row r="2837" ht="15.75" customHeight="1">
      <c r="A2837" s="14"/>
      <c r="D2837" s="18"/>
      <c r="I2837" s="12"/>
      <c r="J2837" s="16"/>
    </row>
    <row r="2838" ht="15.75" customHeight="1">
      <c r="A2838" s="14"/>
      <c r="I2838" s="12"/>
      <c r="J2838" s="16"/>
    </row>
    <row r="2839" ht="15.75" customHeight="1">
      <c r="A2839" s="14"/>
      <c r="D2839" s="18"/>
      <c r="I2839" s="12"/>
      <c r="J2839" s="16"/>
    </row>
    <row r="2840" ht="15.75" customHeight="1">
      <c r="A2840" s="14"/>
      <c r="D2840" s="18"/>
      <c r="I2840" s="12"/>
      <c r="J2840" s="16"/>
    </row>
    <row r="2841" ht="15.75" customHeight="1">
      <c r="A2841" s="14"/>
      <c r="D2841" s="18"/>
      <c r="I2841" s="12"/>
      <c r="J2841" s="16"/>
    </row>
    <row r="2842" ht="15.75" customHeight="1">
      <c r="A2842" s="14"/>
      <c r="D2842" s="18"/>
      <c r="I2842" s="12"/>
      <c r="J2842" s="16"/>
    </row>
    <row r="2843" ht="15.75" customHeight="1">
      <c r="A2843" s="14"/>
      <c r="D2843" s="18"/>
      <c r="I2843" s="12"/>
      <c r="J2843" s="16"/>
    </row>
    <row r="2844" ht="15.75" customHeight="1">
      <c r="A2844" s="14"/>
      <c r="D2844" s="18"/>
      <c r="I2844" s="12"/>
      <c r="J2844" s="16"/>
    </row>
    <row r="2845" ht="15.75" customHeight="1">
      <c r="A2845" s="14"/>
      <c r="D2845" s="18"/>
      <c r="I2845" s="12"/>
      <c r="J2845" s="16"/>
    </row>
    <row r="2846" ht="15.75" customHeight="1">
      <c r="A2846" s="14"/>
      <c r="D2846" s="18"/>
      <c r="I2846" s="12"/>
      <c r="J2846" s="16"/>
    </row>
    <row r="2847" ht="15.75" customHeight="1">
      <c r="A2847" s="14"/>
      <c r="D2847" s="18"/>
      <c r="I2847" s="12"/>
      <c r="J2847" s="16"/>
    </row>
    <row r="2848" ht="15.75" customHeight="1">
      <c r="A2848" s="14"/>
      <c r="D2848" s="18"/>
      <c r="I2848" s="12"/>
      <c r="J2848" s="16"/>
    </row>
    <row r="2849" ht="15.75" customHeight="1">
      <c r="A2849" s="14"/>
      <c r="D2849" s="18"/>
      <c r="I2849" s="12"/>
      <c r="J2849" s="16"/>
    </row>
    <row r="2850" ht="15.75" customHeight="1">
      <c r="A2850" s="14"/>
      <c r="D2850" s="18"/>
      <c r="I2850" s="12"/>
      <c r="J2850" s="16"/>
    </row>
    <row r="2851" ht="15.75" customHeight="1">
      <c r="A2851" s="14"/>
      <c r="D2851" s="18"/>
      <c r="I2851" s="12"/>
      <c r="J2851" s="16"/>
    </row>
    <row r="2852" ht="15.75" customHeight="1">
      <c r="A2852" s="14"/>
      <c r="D2852" s="18"/>
      <c r="I2852" s="12"/>
      <c r="J2852" s="16"/>
    </row>
    <row r="2853" ht="15.75" customHeight="1">
      <c r="A2853" s="14"/>
      <c r="D2853" s="18"/>
      <c r="I2853" s="12"/>
      <c r="J2853" s="16"/>
    </row>
    <row r="2854" ht="15.75" customHeight="1">
      <c r="A2854" s="14"/>
      <c r="D2854" s="18"/>
      <c r="I2854" s="12"/>
      <c r="J2854" s="16"/>
    </row>
    <row r="2855" ht="15.75" customHeight="1">
      <c r="A2855" s="14"/>
      <c r="D2855" s="18"/>
      <c r="I2855" s="12"/>
      <c r="J2855" s="16"/>
    </row>
    <row r="2856" ht="15.75" customHeight="1">
      <c r="A2856" s="14"/>
      <c r="D2856" s="18"/>
      <c r="I2856" s="12"/>
      <c r="J2856" s="16"/>
    </row>
    <row r="2857" ht="15.75" customHeight="1">
      <c r="A2857" s="14"/>
      <c r="D2857" s="18"/>
      <c r="I2857" s="12"/>
      <c r="J2857" s="16"/>
    </row>
    <row r="2858" ht="15.75" customHeight="1">
      <c r="A2858" s="14"/>
      <c r="D2858" s="18"/>
      <c r="I2858" s="12"/>
      <c r="J2858" s="16"/>
    </row>
    <row r="2859" ht="15.75" customHeight="1">
      <c r="A2859" s="14"/>
      <c r="D2859" s="18"/>
      <c r="I2859" s="12"/>
      <c r="J2859" s="16"/>
    </row>
    <row r="2860" ht="15.75" customHeight="1">
      <c r="A2860" s="14"/>
      <c r="D2860" s="18"/>
      <c r="I2860" s="12"/>
      <c r="J2860" s="16"/>
    </row>
    <row r="2861" ht="15.75" customHeight="1">
      <c r="A2861" s="14"/>
      <c r="D2861" s="18"/>
      <c r="I2861" s="12"/>
      <c r="J2861" s="16"/>
    </row>
    <row r="2862" ht="15.75" customHeight="1">
      <c r="A2862" s="14"/>
      <c r="D2862" s="18"/>
      <c r="I2862" s="12"/>
      <c r="J2862" s="16"/>
    </row>
    <row r="2863" ht="15.75" customHeight="1">
      <c r="A2863" s="14"/>
      <c r="D2863" s="18"/>
      <c r="I2863" s="12"/>
      <c r="J2863" s="16"/>
    </row>
    <row r="2864" ht="15.75" customHeight="1">
      <c r="A2864" s="14"/>
      <c r="D2864" s="18"/>
      <c r="I2864" s="12"/>
      <c r="J2864" s="16"/>
    </row>
    <row r="2865" ht="15.75" customHeight="1">
      <c r="A2865" s="14"/>
      <c r="D2865" s="18"/>
      <c r="I2865" s="12"/>
      <c r="J2865" s="16"/>
    </row>
    <row r="2866" ht="15.75" customHeight="1">
      <c r="A2866" s="14"/>
      <c r="I2866" s="12"/>
      <c r="J2866" s="16"/>
    </row>
    <row r="2867" ht="15.75" customHeight="1">
      <c r="A2867" s="14"/>
      <c r="D2867" s="18"/>
      <c r="I2867" s="12"/>
      <c r="J2867" s="16"/>
    </row>
    <row r="2868" ht="15.75" customHeight="1">
      <c r="A2868" s="14"/>
      <c r="D2868" s="18"/>
      <c r="I2868" s="12"/>
      <c r="J2868" s="16"/>
    </row>
    <row r="2869" ht="15.75" customHeight="1">
      <c r="A2869" s="14"/>
      <c r="D2869" s="18"/>
      <c r="I2869" s="12"/>
      <c r="J2869" s="16"/>
    </row>
    <row r="2870" ht="15.75" customHeight="1">
      <c r="A2870" s="14"/>
      <c r="D2870" s="18"/>
      <c r="I2870" s="12"/>
      <c r="J2870" s="16"/>
    </row>
    <row r="2871" ht="15.75" customHeight="1">
      <c r="A2871" s="14"/>
      <c r="D2871" s="18"/>
      <c r="I2871" s="12"/>
      <c r="J2871" s="16"/>
    </row>
    <row r="2872" ht="15.75" customHeight="1">
      <c r="A2872" s="14"/>
      <c r="D2872" s="18"/>
      <c r="I2872" s="12"/>
      <c r="J2872" s="16"/>
    </row>
    <row r="2873" ht="15.75" customHeight="1">
      <c r="A2873" s="14"/>
      <c r="D2873" s="18"/>
      <c r="I2873" s="12"/>
      <c r="J2873" s="16"/>
    </row>
    <row r="2874" ht="15.75" customHeight="1">
      <c r="A2874" s="14"/>
      <c r="D2874" s="18"/>
      <c r="I2874" s="12"/>
      <c r="J2874" s="16"/>
    </row>
    <row r="2875" ht="15.75" customHeight="1">
      <c r="A2875" s="14"/>
      <c r="D2875" s="18"/>
      <c r="I2875" s="12"/>
      <c r="J2875" s="16"/>
    </row>
    <row r="2876" ht="15.75" customHeight="1">
      <c r="A2876" s="14"/>
      <c r="D2876" s="18"/>
      <c r="I2876" s="12"/>
      <c r="J2876" s="16"/>
    </row>
    <row r="2877" ht="15.75" customHeight="1">
      <c r="A2877" s="14"/>
      <c r="D2877" s="18"/>
      <c r="I2877" s="12"/>
      <c r="J2877" s="16"/>
    </row>
    <row r="2878" ht="15.75" customHeight="1">
      <c r="A2878" s="14"/>
      <c r="D2878" s="18"/>
      <c r="I2878" s="12"/>
      <c r="J2878" s="16"/>
    </row>
    <row r="2879" ht="15.75" customHeight="1">
      <c r="A2879" s="14"/>
      <c r="D2879" s="18"/>
      <c r="I2879" s="12"/>
      <c r="J2879" s="16"/>
    </row>
    <row r="2880" ht="15.75" customHeight="1">
      <c r="A2880" s="14"/>
      <c r="D2880" s="18"/>
      <c r="I2880" s="12"/>
      <c r="J2880" s="16"/>
    </row>
    <row r="2881" ht="15.75" customHeight="1">
      <c r="A2881" s="14"/>
      <c r="D2881" s="18"/>
      <c r="I2881" s="12"/>
      <c r="J2881" s="16"/>
    </row>
    <row r="2882" ht="15.75" customHeight="1">
      <c r="A2882" s="14"/>
      <c r="D2882" s="18"/>
      <c r="I2882" s="12"/>
      <c r="J2882" s="16"/>
    </row>
    <row r="2883" ht="15.75" customHeight="1">
      <c r="A2883" s="14"/>
      <c r="D2883" s="18"/>
      <c r="I2883" s="12"/>
      <c r="J2883" s="16"/>
    </row>
    <row r="2884" ht="15.75" customHeight="1">
      <c r="A2884" s="14"/>
      <c r="D2884" s="18"/>
      <c r="I2884" s="12"/>
      <c r="J2884" s="16"/>
    </row>
    <row r="2885" ht="15.75" customHeight="1">
      <c r="A2885" s="14"/>
      <c r="D2885" s="18"/>
      <c r="I2885" s="12"/>
      <c r="J2885" s="16"/>
    </row>
    <row r="2886" ht="15.75" customHeight="1">
      <c r="A2886" s="14"/>
      <c r="D2886" s="18"/>
      <c r="I2886" s="12"/>
      <c r="J2886" s="16"/>
    </row>
    <row r="2887" ht="15.75" customHeight="1">
      <c r="A2887" s="14"/>
      <c r="D2887" s="18"/>
      <c r="I2887" s="12"/>
      <c r="J2887" s="16"/>
    </row>
    <row r="2888" ht="15.75" customHeight="1">
      <c r="A2888" s="14"/>
      <c r="D2888" s="18"/>
      <c r="I2888" s="12"/>
      <c r="J2888" s="16"/>
    </row>
    <row r="2889" ht="15.75" customHeight="1">
      <c r="A2889" s="14"/>
      <c r="D2889" s="18"/>
      <c r="I2889" s="12"/>
      <c r="J2889" s="16"/>
    </row>
    <row r="2890" ht="15.75" customHeight="1">
      <c r="A2890" s="14"/>
      <c r="D2890" s="18"/>
      <c r="I2890" s="12"/>
      <c r="J2890" s="16"/>
    </row>
    <row r="2891" ht="15.75" customHeight="1">
      <c r="A2891" s="14"/>
      <c r="D2891" s="18"/>
      <c r="I2891" s="12"/>
      <c r="J2891" s="16"/>
    </row>
    <row r="2892" ht="15.75" customHeight="1">
      <c r="A2892" s="14"/>
      <c r="D2892" s="18"/>
      <c r="I2892" s="12"/>
      <c r="J2892" s="16"/>
    </row>
    <row r="2893" ht="15.75" customHeight="1">
      <c r="A2893" s="14"/>
      <c r="D2893" s="18"/>
      <c r="I2893" s="12"/>
      <c r="J2893" s="16"/>
    </row>
    <row r="2894" ht="15.75" customHeight="1">
      <c r="A2894" s="14"/>
      <c r="D2894" s="18"/>
      <c r="I2894" s="12"/>
      <c r="J2894" s="16"/>
    </row>
    <row r="2895" ht="15.75" customHeight="1">
      <c r="A2895" s="14"/>
      <c r="D2895" s="18"/>
      <c r="I2895" s="12"/>
      <c r="J2895" s="16"/>
    </row>
    <row r="2896" ht="15.75" customHeight="1">
      <c r="A2896" s="14"/>
      <c r="D2896" s="18"/>
      <c r="I2896" s="12"/>
      <c r="J2896" s="16"/>
    </row>
    <row r="2897" ht="15.75" customHeight="1">
      <c r="A2897" s="14"/>
      <c r="D2897" s="18"/>
      <c r="I2897" s="12"/>
      <c r="J2897" s="16"/>
    </row>
    <row r="2898" ht="15.75" customHeight="1">
      <c r="A2898" s="14"/>
      <c r="D2898" s="18"/>
      <c r="I2898" s="12"/>
      <c r="J2898" s="16"/>
    </row>
    <row r="2899" ht="15.75" customHeight="1">
      <c r="A2899" s="14"/>
      <c r="D2899" s="18"/>
      <c r="I2899" s="12"/>
      <c r="J2899" s="16"/>
    </row>
    <row r="2900" ht="15.75" customHeight="1">
      <c r="A2900" s="14"/>
      <c r="D2900" s="18"/>
      <c r="I2900" s="12"/>
      <c r="J2900" s="16"/>
    </row>
    <row r="2901" ht="15.75" customHeight="1">
      <c r="A2901" s="14"/>
      <c r="D2901" s="18"/>
      <c r="I2901" s="12"/>
      <c r="J2901" s="16"/>
    </row>
    <row r="2902" ht="15.75" customHeight="1">
      <c r="A2902" s="14"/>
      <c r="D2902" s="18"/>
      <c r="I2902" s="12"/>
      <c r="J2902" s="16"/>
    </row>
    <row r="2903" ht="15.75" customHeight="1">
      <c r="A2903" s="14"/>
      <c r="D2903" s="18"/>
      <c r="I2903" s="12"/>
      <c r="J2903" s="16"/>
    </row>
    <row r="2904" ht="15.75" customHeight="1">
      <c r="A2904" s="14"/>
      <c r="D2904" s="18"/>
      <c r="I2904" s="12"/>
      <c r="J2904" s="16"/>
    </row>
    <row r="2905" ht="15.75" customHeight="1">
      <c r="A2905" s="14"/>
      <c r="D2905" s="18"/>
      <c r="I2905" s="12"/>
      <c r="J2905" s="16"/>
    </row>
    <row r="2906" ht="15.75" customHeight="1">
      <c r="A2906" s="14"/>
      <c r="D2906" s="18"/>
      <c r="I2906" s="12"/>
      <c r="J2906" s="16"/>
    </row>
    <row r="2907" ht="15.75" customHeight="1">
      <c r="A2907" s="14"/>
      <c r="D2907" s="18"/>
      <c r="I2907" s="12"/>
      <c r="J2907" s="16"/>
    </row>
    <row r="2908" ht="15.75" customHeight="1">
      <c r="A2908" s="14"/>
      <c r="D2908" s="18"/>
      <c r="I2908" s="12"/>
      <c r="J2908" s="16"/>
    </row>
    <row r="2909" ht="15.75" customHeight="1">
      <c r="A2909" s="14"/>
      <c r="D2909" s="18"/>
      <c r="I2909" s="12"/>
      <c r="J2909" s="16"/>
    </row>
    <row r="2910" ht="15.75" customHeight="1">
      <c r="A2910" s="14"/>
      <c r="D2910" s="18"/>
      <c r="I2910" s="12"/>
      <c r="J2910" s="16"/>
    </row>
    <row r="2911" ht="15.75" customHeight="1">
      <c r="A2911" s="14"/>
      <c r="D2911" s="18"/>
      <c r="I2911" s="12"/>
      <c r="J2911" s="16"/>
    </row>
    <row r="2912" ht="15.75" customHeight="1">
      <c r="A2912" s="14"/>
      <c r="D2912" s="18"/>
      <c r="I2912" s="12"/>
      <c r="J2912" s="16"/>
    </row>
    <row r="2913" ht="15.75" customHeight="1">
      <c r="A2913" s="14"/>
      <c r="D2913" s="18"/>
      <c r="I2913" s="12"/>
      <c r="J2913" s="16"/>
    </row>
    <row r="2914" ht="15.75" customHeight="1">
      <c r="A2914" s="14"/>
      <c r="D2914" s="18"/>
      <c r="I2914" s="12"/>
      <c r="J2914" s="16"/>
    </row>
    <row r="2915" ht="15.75" customHeight="1">
      <c r="A2915" s="14"/>
      <c r="D2915" s="18"/>
      <c r="I2915" s="12"/>
      <c r="J2915" s="16"/>
    </row>
    <row r="2916" ht="15.75" customHeight="1">
      <c r="A2916" s="14"/>
      <c r="D2916" s="18"/>
      <c r="I2916" s="12"/>
      <c r="J2916" s="16"/>
    </row>
    <row r="2917" ht="15.75" customHeight="1">
      <c r="A2917" s="14"/>
      <c r="D2917" s="18"/>
      <c r="I2917" s="12"/>
      <c r="J2917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sheetData>
    <row r="1" ht="18.75" customHeight="1">
      <c r="A1" s="22"/>
      <c r="B1" s="23" t="s">
        <v>33</v>
      </c>
      <c r="D1" s="24"/>
      <c r="E1" s="25" t="s">
        <v>18</v>
      </c>
      <c r="G1" s="24"/>
      <c r="H1" s="25" t="s">
        <v>12</v>
      </c>
      <c r="J1" s="24"/>
      <c r="K1" s="25" t="s">
        <v>22</v>
      </c>
      <c r="M1" s="24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8.75" customHeight="1">
      <c r="A2" s="27"/>
      <c r="B2" s="28" t="s">
        <v>11</v>
      </c>
      <c r="C2" s="29" t="s">
        <v>30</v>
      </c>
      <c r="D2" s="29" t="s">
        <v>431</v>
      </c>
      <c r="E2" s="29" t="s">
        <v>11</v>
      </c>
      <c r="F2" s="29" t="s">
        <v>30</v>
      </c>
      <c r="G2" s="29" t="s">
        <v>431</v>
      </c>
      <c r="H2" s="29" t="s">
        <v>11</v>
      </c>
      <c r="I2" s="29" t="s">
        <v>30</v>
      </c>
      <c r="J2" s="29" t="s">
        <v>431</v>
      </c>
      <c r="K2" s="29" t="s">
        <v>11</v>
      </c>
      <c r="L2" s="29" t="s">
        <v>30</v>
      </c>
      <c r="M2" s="29" t="s">
        <v>431</v>
      </c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30" t="s">
        <v>31</v>
      </c>
      <c r="B3" s="31">
        <f t="shared" ref="B3:K3" si="1">DIVIDE(B8,B9)
</f>
        <v>0.16</v>
      </c>
      <c r="C3" s="31">
        <f t="shared" si="1"/>
        <v>0.5714285714</v>
      </c>
      <c r="D3" s="32">
        <f t="shared" si="1"/>
        <v>0.25</v>
      </c>
      <c r="E3" s="31">
        <f t="shared" si="1"/>
        <v>0.25</v>
      </c>
      <c r="F3" s="31">
        <f t="shared" si="1"/>
        <v>0.8571428571</v>
      </c>
      <c r="G3" s="32">
        <f t="shared" si="1"/>
        <v>0.5333333333</v>
      </c>
      <c r="H3" s="31">
        <f t="shared" si="1"/>
        <v>0.4444444444</v>
      </c>
      <c r="I3" s="31">
        <f t="shared" si="1"/>
        <v>0.7777777778</v>
      </c>
      <c r="J3" s="32">
        <f t="shared" si="1"/>
        <v>0.6111111111</v>
      </c>
      <c r="K3" s="31">
        <f t="shared" si="1"/>
        <v>0.06666666667</v>
      </c>
      <c r="L3" s="33" t="s">
        <v>432</v>
      </c>
      <c r="M3" s="32">
        <f>DIVIDE(M8,M9)
</f>
        <v>0.1764705882</v>
      </c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5" t="s">
        <v>24</v>
      </c>
      <c r="B4" s="31">
        <f t="shared" ref="B4:M4" si="2">DIVIDE(B10,B11)
</f>
        <v>0</v>
      </c>
      <c r="C4" s="31">
        <f t="shared" si="2"/>
        <v>0.3846153846</v>
      </c>
      <c r="D4" s="32">
        <f t="shared" si="2"/>
        <v>0.1388888889</v>
      </c>
      <c r="E4" s="31">
        <f t="shared" si="2"/>
        <v>0</v>
      </c>
      <c r="F4" s="31">
        <f t="shared" si="2"/>
        <v>1</v>
      </c>
      <c r="G4" s="32">
        <f t="shared" si="2"/>
        <v>0.25</v>
      </c>
      <c r="H4" s="31">
        <f t="shared" si="2"/>
        <v>0.3</v>
      </c>
      <c r="I4" s="31">
        <f t="shared" si="2"/>
        <v>1</v>
      </c>
      <c r="J4" s="32">
        <f t="shared" si="2"/>
        <v>0.6315789474</v>
      </c>
      <c r="K4" s="31">
        <f t="shared" si="2"/>
        <v>0.1355932203</v>
      </c>
      <c r="L4" s="31">
        <f t="shared" si="2"/>
        <v>1</v>
      </c>
      <c r="M4" s="32">
        <f t="shared" si="2"/>
        <v>0.15</v>
      </c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5" t="s">
        <v>14</v>
      </c>
      <c r="B5" s="31">
        <f t="shared" ref="B5:M5" si="3">DIVIDE(B12,B13)
</f>
        <v>0.1666666667</v>
      </c>
      <c r="C5" s="31">
        <f t="shared" si="3"/>
        <v>0.25</v>
      </c>
      <c r="D5" s="32">
        <f t="shared" si="3"/>
        <v>0.2</v>
      </c>
      <c r="E5" s="31">
        <f t="shared" si="3"/>
        <v>0.125</v>
      </c>
      <c r="F5" s="31">
        <f t="shared" si="3"/>
        <v>0.8333333333</v>
      </c>
      <c r="G5" s="32">
        <f t="shared" si="3"/>
        <v>0.4285714286</v>
      </c>
      <c r="H5" s="31">
        <f t="shared" si="3"/>
        <v>0.4444444444</v>
      </c>
      <c r="I5" s="31">
        <f t="shared" si="3"/>
        <v>1</v>
      </c>
      <c r="J5" s="32">
        <f t="shared" si="3"/>
        <v>0.7368421053</v>
      </c>
      <c r="K5" s="31">
        <f t="shared" si="3"/>
        <v>0.1666666667</v>
      </c>
      <c r="L5" s="31">
        <f t="shared" si="3"/>
        <v>1</v>
      </c>
      <c r="M5" s="32">
        <f t="shared" si="3"/>
        <v>0.1836734694</v>
      </c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5" t="s">
        <v>20</v>
      </c>
      <c r="B6" s="31">
        <f t="shared" ref="B6:K6" si="4">DIVIDE(B14,B15)
</f>
        <v>0.3</v>
      </c>
      <c r="C6" s="31">
        <f t="shared" si="4"/>
        <v>0.5</v>
      </c>
      <c r="D6" s="32">
        <f t="shared" si="4"/>
        <v>0.3888888889</v>
      </c>
      <c r="E6" s="31">
        <f t="shared" si="4"/>
        <v>0.2857142857</v>
      </c>
      <c r="F6" s="31">
        <f t="shared" si="4"/>
        <v>1</v>
      </c>
      <c r="G6" s="32">
        <f t="shared" si="4"/>
        <v>0.5454545455</v>
      </c>
      <c r="H6" s="31">
        <f t="shared" si="4"/>
        <v>0.4444444444</v>
      </c>
      <c r="I6" s="31">
        <f t="shared" si="4"/>
        <v>1</v>
      </c>
      <c r="J6" s="32">
        <f t="shared" si="4"/>
        <v>0.6666666667</v>
      </c>
      <c r="K6" s="31">
        <f t="shared" si="4"/>
        <v>0.1714285714</v>
      </c>
      <c r="L6" s="33" t="s">
        <v>432</v>
      </c>
      <c r="M6" s="32">
        <f>DIVIDE(M14,M15)
</f>
        <v>0.1714285714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5" t="s">
        <v>431</v>
      </c>
      <c r="B7" s="36">
        <f t="shared" ref="B7:M7" si="5">DIVIDE(B16,B17)
</f>
        <v>0.1315789474</v>
      </c>
      <c r="C7" s="36">
        <f t="shared" si="5"/>
        <v>0.4</v>
      </c>
      <c r="D7" s="37">
        <f t="shared" si="5"/>
        <v>0.224137931</v>
      </c>
      <c r="E7" s="36">
        <f t="shared" si="5"/>
        <v>0.15625</v>
      </c>
      <c r="F7" s="36">
        <f t="shared" si="5"/>
        <v>0.9</v>
      </c>
      <c r="G7" s="37">
        <f t="shared" si="5"/>
        <v>0.4423076923</v>
      </c>
      <c r="H7" s="36">
        <f t="shared" si="5"/>
        <v>0.4054054054</v>
      </c>
      <c r="I7" s="36">
        <f t="shared" si="5"/>
        <v>0.9411764706</v>
      </c>
      <c r="J7" s="37">
        <f t="shared" si="5"/>
        <v>0.661971831</v>
      </c>
      <c r="K7" s="36">
        <f t="shared" si="5"/>
        <v>0.1464968153</v>
      </c>
      <c r="L7" s="36">
        <f t="shared" si="5"/>
        <v>1</v>
      </c>
      <c r="M7" s="38">
        <f t="shared" si="5"/>
        <v>0.1677018634</v>
      </c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9" t="s">
        <v>433</v>
      </c>
      <c r="B8" s="40">
        <f>COUNTIFS(Main!$G:$G, "3rd Class", Main!$E:$E, "Male", Main!$H:$H, "Saved", Main!$K:$K, "00-19")
</f>
        <v>4</v>
      </c>
      <c r="C8" s="40">
        <f>COUNTIFS(Main!$G:$G, "3rd Class", Main!$E:$E, "Female", Main!$H:$H, "Saved", Main!$K:$K, "00-19")
</f>
        <v>4</v>
      </c>
      <c r="D8" s="41">
        <f t="shared" ref="D8:D15" si="6">sum(B8:C8)</f>
        <v>8</v>
      </c>
      <c r="E8" s="40">
        <f>COUNTIFS(Main!$G:$G, "2nd Class", Main!$E:$E, "Male", Main!$H:$H, "Saved", Main!$K:$K, "00-19")
</f>
        <v>2</v>
      </c>
      <c r="F8" s="40">
        <f>COUNTIFS(Main!$G:$G, "2nd Class", Main!$E:$E, "Female", Main!$H:$H, "Saved", Main!$K:$K, "00-19")
</f>
        <v>6</v>
      </c>
      <c r="G8" s="41">
        <f t="shared" ref="G8:G15" si="7">sum(E8:F8)</f>
        <v>8</v>
      </c>
      <c r="H8" s="40">
        <f>COUNTIFS(Main!$G:$G, "1st Class", Main!$E:$E, "Male", Main!$H:$H, "Saved", Main!$K:$K, "00-19")
</f>
        <v>4</v>
      </c>
      <c r="I8" s="40">
        <f>COUNTIFS(Main!$G:$G, "1st Class", Main!$E:$E, "Female", Main!$H:$H, "Saved", Main!$K:$K, "00-19")
</f>
        <v>7</v>
      </c>
      <c r="J8" s="41">
        <f t="shared" ref="J8:J15" si="8">sum(H8:I8)</f>
        <v>11</v>
      </c>
      <c r="K8" s="40">
        <f>COUNTIFS(Main!$G:$G, "Crew", Main!$E:$E, "Male", Main!$H:$H, "Saved", Main!$K:$K, "00-19")</f>
        <v>1</v>
      </c>
      <c r="L8" s="40">
        <f>COUNTIFS(Main!$G:$G, "Crew", Main!$E:$E, "Female", Main!$H:$H, "Saved", Main!$K:$K, "00-19")</f>
        <v>2</v>
      </c>
      <c r="M8" s="41">
        <f t="shared" ref="M8:M15" si="9">sum(K8:L8)</f>
        <v>3</v>
      </c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9" t="s">
        <v>434</v>
      </c>
      <c r="B9" s="40">
        <f>COUNTIFS(Main!$G:$G, "3rd Class", Main!$E:$E, "Male", Main!$K:$K, "00-19")
</f>
        <v>25</v>
      </c>
      <c r="C9" s="40">
        <f>COUNTIFS(Main!$G:$G, "3rd Class", Main!$E:$E, "Female", Main!$K:$K, "00-19")
</f>
        <v>7</v>
      </c>
      <c r="D9" s="41">
        <f t="shared" si="6"/>
        <v>32</v>
      </c>
      <c r="E9" s="40">
        <f>COUNTIFS(Main!$G:$G, "2nd Class", Main!$E:$E, "Male", Main!$K:$K, "00-19")
</f>
        <v>8</v>
      </c>
      <c r="F9" s="40">
        <f>COUNTIFS(Main!$G:$G, "2nd Class", Main!$E:$E, "Female", Main!$K:$K, "00-19")
</f>
        <v>7</v>
      </c>
      <c r="G9" s="41">
        <f t="shared" si="7"/>
        <v>15</v>
      </c>
      <c r="H9" s="40">
        <f>COUNTIFS(Main!$G:$G, "1st Class", Main!$E:$E, "Male", Main!$K:$K, "00-19")
</f>
        <v>9</v>
      </c>
      <c r="I9" s="40">
        <f>COUNTIFS(Main!$G:$G, "1st Class", Main!$E:$E, "Female", Main!$K:$K, "00-19")
</f>
        <v>9</v>
      </c>
      <c r="J9" s="41">
        <f t="shared" si="8"/>
        <v>18</v>
      </c>
      <c r="K9" s="40">
        <f>COUNTIFS(Main!$G:$G, "Crew", Main!$E:$E, "Male", Main!$K:$K, "00-19")
</f>
        <v>15</v>
      </c>
      <c r="L9" s="40">
        <f>COUNTIFS(Main!$G:$G, "Crew", Main!$E:$E, "Female", Main!$K:$K, "00-19")
</f>
        <v>2</v>
      </c>
      <c r="M9" s="41">
        <f t="shared" si="9"/>
        <v>17</v>
      </c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9" t="s">
        <v>435</v>
      </c>
      <c r="B10" s="40">
        <f>COUNTIFS(Main!$G:$G, "3rd Class", Main!$E:$E, "Male", Main!$H:$H, "Saved", Main!$K:$K, "20-39")
</f>
        <v>0</v>
      </c>
      <c r="C10" s="40">
        <f>COUNTIFS(Main!$G:$G, "3rd Class", Main!$E:$E, "Female", Main!$H:$H, "Saved", Main!$K:$K, "20-39")</f>
        <v>5</v>
      </c>
      <c r="D10" s="41">
        <f t="shared" si="6"/>
        <v>5</v>
      </c>
      <c r="E10" s="40">
        <f>COUNTIFS(Main!$G:$G, "2nd Class", Main!$E:$E, "Male", Main!$H:$H, "Saved", Main!$K:$K, "20-39")</f>
        <v>0</v>
      </c>
      <c r="F10" s="40">
        <f>COUNTIFS(Main!$G:$G, "2nd Class", Main!$E:$E, "Female", Main!$H:$H, "Saved", Main!$K:$K, "20-39")</f>
        <v>3</v>
      </c>
      <c r="G10" s="41">
        <f t="shared" si="7"/>
        <v>3</v>
      </c>
      <c r="H10" s="40">
        <f>COUNTIFS(Main!$G:$G, "1st Class", Main!$E:$E, "Male", Main!$H:$H, "Saved", Main!$K:$K, "20-39")</f>
        <v>3</v>
      </c>
      <c r="I10" s="40">
        <f>COUNTIFS(Main!$G:$G, "1st Class", Main!$E:$E, "Female", Main!$H:$H, "Saved", Main!$K:$K, "20-39")</f>
        <v>9</v>
      </c>
      <c r="J10" s="41">
        <f t="shared" si="8"/>
        <v>12</v>
      </c>
      <c r="K10" s="40">
        <f>COUNTIFS(Main!$G:$G, "Crew", Main!$E:$E, "Male", Main!$H:$H, "Saved", Main!$K:$K, "20-39")</f>
        <v>8</v>
      </c>
      <c r="L10" s="40">
        <f>COUNTIFS(Main!$G:$G, "Crew", Main!$E:$E, "Female", Main!$H:$H, "Saved", Main!$K:$K, "20-39")</f>
        <v>1</v>
      </c>
      <c r="M10" s="41">
        <f t="shared" si="9"/>
        <v>9</v>
      </c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9" t="s">
        <v>436</v>
      </c>
      <c r="B11" s="40">
        <f>COUNTIFS(Main!$G:$G, "3rd Class", Main!$E:$E, "Male", Main!$K:$K, "20-39")
</f>
        <v>23</v>
      </c>
      <c r="C11" s="40">
        <f>COUNTIFS(Main!$G:$G, "3rd Class", Main!$E:$E, "Female", Main!$K:$K, "20-39")
</f>
        <v>13</v>
      </c>
      <c r="D11" s="41">
        <f t="shared" si="6"/>
        <v>36</v>
      </c>
      <c r="E11" s="40">
        <f>COUNTIFS(Main!$G:$G, "2nd Class", Main!$E:$E, "Male", Main!$K:$K, "20-39")
</f>
        <v>9</v>
      </c>
      <c r="F11" s="40">
        <f>COUNTIFS(Main!$G:$G, "2nd Class", Main!$E:$E, "Female", Main!$K:$K, "20-39")
</f>
        <v>3</v>
      </c>
      <c r="G11" s="41">
        <f t="shared" si="7"/>
        <v>12</v>
      </c>
      <c r="H11" s="40">
        <f>COUNTIFS(Main!$G:$G, "1st Class", Main!$E:$E, "Male", Main!$K:$K, "20-39")
</f>
        <v>10</v>
      </c>
      <c r="I11" s="40">
        <f>COUNTIFS(Main!$G:$G, "1st Class", Main!$E:$E, "Female", Main!$K:$K, "20-39")
</f>
        <v>9</v>
      </c>
      <c r="J11" s="41">
        <f t="shared" si="8"/>
        <v>19</v>
      </c>
      <c r="K11" s="40">
        <f>COUNTIFS(Main!$G:$G, "Crew", Main!$E:$E, "Male", Main!$K:$K, "20-39")
</f>
        <v>59</v>
      </c>
      <c r="L11" s="40">
        <f>COUNTIFS(Main!$G:$G, "Crew", Main!$E:$E, "Female", Main!$K:$K, "20-39")
</f>
        <v>1</v>
      </c>
      <c r="M11" s="41">
        <f t="shared" si="9"/>
        <v>60</v>
      </c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9" t="s">
        <v>437</v>
      </c>
      <c r="B12" s="40">
        <f>COUNTIFS(Main!$G:$G, "3rd Class", Main!$E:$E, "Male", Main!$H:$H, "Saved", Main!$K:$K, "40-59")</f>
        <v>3</v>
      </c>
      <c r="C12" s="40">
        <f>COUNTIFS(Main!$G:$G, "3rd Class", Main!$E:$E, "Female", Main!$H:$H, "Saved", Main!$K:$K, "40-59")</f>
        <v>3</v>
      </c>
      <c r="D12" s="41">
        <f t="shared" si="6"/>
        <v>6</v>
      </c>
      <c r="E12" s="40">
        <f>COUNTIFS(Main!$G:$G, "2nd Class", Main!$E:$E, "Male", Main!$H:$H, "Saved", Main!$K:$K, "40-59")
</f>
        <v>1</v>
      </c>
      <c r="F12" s="40">
        <f>COUNTIFS(Main!$G:$G, "2nd Class", Main!$E:$E, "Female", Main!$H:$H, "Saved", Main!$K:$K, "40-59")
</f>
        <v>5</v>
      </c>
      <c r="G12" s="41">
        <f t="shared" si="7"/>
        <v>6</v>
      </c>
      <c r="H12" s="40">
        <f>COUNTIFS(Main!$G:$G, "1st Class", Main!$E:$E, "Male", Main!$H:$H, "Saved", Main!$K:$K, "40-59")
</f>
        <v>4</v>
      </c>
      <c r="I12" s="40">
        <f>COUNTIFS(Main!$G:$G, "1st Class", Main!$E:$E, "Female", Main!$H:$H, "Saved", Main!$K:$K, "40-59")
</f>
        <v>10</v>
      </c>
      <c r="J12" s="41">
        <f t="shared" si="8"/>
        <v>14</v>
      </c>
      <c r="K12" s="40">
        <f>COUNTIFS(Main!$G:$G, "Crew", Main!$E:$E, "Male", Main!$H:$H, "Saved", Main!$K:$K, "40-59")</f>
        <v>8</v>
      </c>
      <c r="L12" s="40">
        <f>COUNTIFS(Main!$G:$G, "Crew", Main!$E:$E, "Female", Main!$H:$H, "Saved", Main!$K:$K, "40-59")
</f>
        <v>1</v>
      </c>
      <c r="M12" s="41">
        <f t="shared" si="9"/>
        <v>9</v>
      </c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9" t="s">
        <v>438</v>
      </c>
      <c r="B13" s="40">
        <f>COUNTIFS(Main!$G:$G, "3rd Class", Main!$E:$E, "Male", Main!$K:$K, "40-59")
</f>
        <v>18</v>
      </c>
      <c r="C13" s="40">
        <f>COUNTIFS(Main!$G:$G, "3rd Class", Main!$E:$E, "Female", Main!$K:$K, "40-59")
</f>
        <v>12</v>
      </c>
      <c r="D13" s="41">
        <f t="shared" si="6"/>
        <v>30</v>
      </c>
      <c r="E13" s="40">
        <f>COUNTIFS(Main!$G:$G, "2nd Class", Main!$E:$E, "Male", Main!$K:$K, "40-59")
</f>
        <v>8</v>
      </c>
      <c r="F13" s="40">
        <f>COUNTIFS(Main!$G:$G, "2nd Class", Main!$E:$E, "Female", Main!$K:$K, "40-59")
</f>
        <v>6</v>
      </c>
      <c r="G13" s="41">
        <f t="shared" si="7"/>
        <v>14</v>
      </c>
      <c r="H13" s="40">
        <f>COUNTIFS(Main!$G:$G, "1st Class", Main!$E:$E, "Male", Main!$K:$K, "40-59")
</f>
        <v>9</v>
      </c>
      <c r="I13" s="40">
        <f>COUNTIFS(Main!$G:$G, "1st Class", Main!$E:$E, "Female", Main!$K:$K, "40-59")
</f>
        <v>10</v>
      </c>
      <c r="J13" s="41">
        <f t="shared" si="8"/>
        <v>19</v>
      </c>
      <c r="K13" s="40">
        <f>COUNTIFS(Main!$G:$G, "Crew", Main!$E:$E, "Male", Main!$K:$K, "40-59")
</f>
        <v>48</v>
      </c>
      <c r="L13" s="40">
        <f>COUNTIFS(Main!$G:$G, "Crew", Main!$E:$E, "Female", Main!$K:$K, "40-59")
</f>
        <v>1</v>
      </c>
      <c r="M13" s="41">
        <f t="shared" si="9"/>
        <v>49</v>
      </c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9" t="s">
        <v>439</v>
      </c>
      <c r="B14" s="40">
        <f>COUNTIFS(Main!$G:$G, "3rd Class", Main!$E:$E, "Male", Main!$H:$H, "Saved", Main!$K:$K, "60+")
</f>
        <v>3</v>
      </c>
      <c r="C14" s="40">
        <f>COUNTIFS(Main!$G:$G, "3rd Class", Main!$E:$E, "Female", Main!$H:$H, "Saved", Main!$K:$K, "60+")
</f>
        <v>4</v>
      </c>
      <c r="D14" s="41">
        <f t="shared" si="6"/>
        <v>7</v>
      </c>
      <c r="E14" s="40">
        <f>COUNTIFS(Main!$G:$G, "2nd Class", Main!$E:$E, "Male", Main!$H:$H, "Saved", Main!$K:$K, "60+")
</f>
        <v>2</v>
      </c>
      <c r="F14" s="40">
        <f>COUNTIFS(Main!$G:$G, "2nd Class", Main!$E:$E, "Female", Main!$H:$H, "Saved", Main!$K:$K, "60+")</f>
        <v>4</v>
      </c>
      <c r="G14" s="41">
        <f t="shared" si="7"/>
        <v>6</v>
      </c>
      <c r="H14" s="40">
        <f>COUNTIFS(Main!$G:$G, "1st Class", Main!$E:$E, "Male", Main!$H:$H, "Saved", Main!$K:$K, "60+")
</f>
        <v>4</v>
      </c>
      <c r="I14" s="40">
        <f>COUNTIFS(Main!$G:$G, "1st Class", Main!$E:$E, "Female", Main!$H:$H, "Saved", Main!$K:$K, "60+")</f>
        <v>6</v>
      </c>
      <c r="J14" s="41">
        <f t="shared" si="8"/>
        <v>10</v>
      </c>
      <c r="K14" s="40">
        <f>COUNTIFS(Main!$G:$G, "Crew", Main!$E:$E, "Male", Main!$H:$H, "Saved", Main!$K:$K, "60+")
</f>
        <v>6</v>
      </c>
      <c r="L14" s="40">
        <f>COUNTIFS(Main!$G:$G, "Crew", Main!$E:$E, "Female", Main!$H:$H, "Saved", Main!$K:$K, "60+")
</f>
        <v>0</v>
      </c>
      <c r="M14" s="41">
        <f t="shared" si="9"/>
        <v>6</v>
      </c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9" t="s">
        <v>440</v>
      </c>
      <c r="B15" s="40">
        <f>COUNTIFS(Main!$G:$G, "3rd Class", Main!$E:$E, "Male", Main!$K:$K, "60+")
</f>
        <v>10</v>
      </c>
      <c r="C15" s="40">
        <f>COUNTIFS(Main!$G:$G, "3rd Class", Main!$E:$E, "Female", Main!$K:$K, "60+")
</f>
        <v>8</v>
      </c>
      <c r="D15" s="41">
        <f t="shared" si="6"/>
        <v>18</v>
      </c>
      <c r="E15" s="40">
        <f>COUNTIFS(Main!$G:$G, "2nd Class", Main!$E:$E, "Male", Main!$K:$K, "60+")
</f>
        <v>7</v>
      </c>
      <c r="F15" s="40">
        <f>COUNTIFS(Main!$G:$G, "2nd Class", Main!$E:$E, "Female", Main!$K:$K, "60+")
</f>
        <v>4</v>
      </c>
      <c r="G15" s="41">
        <f t="shared" si="7"/>
        <v>11</v>
      </c>
      <c r="H15" s="40">
        <f>COUNTIFS(Main!$G:$G, "1st Class", Main!$E:$E, "Male", Main!$K:$K, "60+")
</f>
        <v>9</v>
      </c>
      <c r="I15" s="40">
        <f>COUNTIFS(Main!$G:$G, "1st Class", Main!$E:$E, "Female", Main!$K:$K, "60+")
</f>
        <v>6</v>
      </c>
      <c r="J15" s="41">
        <f t="shared" si="8"/>
        <v>15</v>
      </c>
      <c r="K15" s="40">
        <f>COUNTIFS(Main!$G:$G, "Crew", Main!$E:$E, "Male", Main!$K:$K, "60+")
</f>
        <v>35</v>
      </c>
      <c r="L15" s="40">
        <f>COUNTIFS(Main!$G:$G, "Crew", Main!$E:$E, "Female", Main!$K:$K, "60+")
</f>
        <v>0</v>
      </c>
      <c r="M15" s="41">
        <f t="shared" si="9"/>
        <v>35</v>
      </c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42" t="s">
        <v>441</v>
      </c>
      <c r="B16" s="43">
        <f t="shared" ref="B16:M16" si="10">sum(B8,B10,B12,B14)</f>
        <v>10</v>
      </c>
      <c r="C16" s="43">
        <f t="shared" si="10"/>
        <v>16</v>
      </c>
      <c r="D16" s="44">
        <f t="shared" si="10"/>
        <v>26</v>
      </c>
      <c r="E16" s="43">
        <f t="shared" si="10"/>
        <v>5</v>
      </c>
      <c r="F16" s="43">
        <f t="shared" si="10"/>
        <v>18</v>
      </c>
      <c r="G16" s="44">
        <f t="shared" si="10"/>
        <v>23</v>
      </c>
      <c r="H16" s="43">
        <f t="shared" si="10"/>
        <v>15</v>
      </c>
      <c r="I16" s="43">
        <f t="shared" si="10"/>
        <v>32</v>
      </c>
      <c r="J16" s="44">
        <f t="shared" si="10"/>
        <v>47</v>
      </c>
      <c r="K16" s="43">
        <f t="shared" si="10"/>
        <v>23</v>
      </c>
      <c r="L16" s="43">
        <f t="shared" si="10"/>
        <v>4</v>
      </c>
      <c r="M16" s="45">
        <f t="shared" si="10"/>
        <v>27</v>
      </c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46" t="s">
        <v>431</v>
      </c>
      <c r="B17" s="47">
        <f t="shared" ref="B17:M17" si="11">sum(B9,B11,B13,B15)</f>
        <v>76</v>
      </c>
      <c r="C17" s="47">
        <f t="shared" si="11"/>
        <v>40</v>
      </c>
      <c r="D17" s="47">
        <f t="shared" si="11"/>
        <v>116</v>
      </c>
      <c r="E17" s="47">
        <f t="shared" si="11"/>
        <v>32</v>
      </c>
      <c r="F17" s="47">
        <f t="shared" si="11"/>
        <v>20</v>
      </c>
      <c r="G17" s="47">
        <f t="shared" si="11"/>
        <v>52</v>
      </c>
      <c r="H17" s="47">
        <f t="shared" si="11"/>
        <v>37</v>
      </c>
      <c r="I17" s="47">
        <f t="shared" si="11"/>
        <v>34</v>
      </c>
      <c r="J17" s="47">
        <f t="shared" si="11"/>
        <v>71</v>
      </c>
      <c r="K17" s="47">
        <f t="shared" si="11"/>
        <v>157</v>
      </c>
      <c r="L17" s="47">
        <f t="shared" si="11"/>
        <v>4</v>
      </c>
      <c r="M17" s="48">
        <f t="shared" si="11"/>
        <v>161</v>
      </c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F21" s="49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50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50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50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50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50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50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50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50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50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50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50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50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50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50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50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50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50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50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50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50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50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50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50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50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50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50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50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50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50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50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50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50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50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50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50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50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50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50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50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50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50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50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50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50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50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50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50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50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50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50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50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50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50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50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50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50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50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50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50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50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50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50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50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50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50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50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50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50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50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50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50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50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50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50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50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50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50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50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50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50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50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50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50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50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50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50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50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50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50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50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50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50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50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50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50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50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50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50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50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50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50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50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50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50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50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50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50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50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50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50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50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50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50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50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50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50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50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50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50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50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50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50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50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50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50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50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50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50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50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50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50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50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50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50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50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50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50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50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50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50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50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50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50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50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50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50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50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50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50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50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50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50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50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50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50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50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50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50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50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50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50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50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50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50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50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50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50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50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50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50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50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50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50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50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50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50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50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50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50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50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50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50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50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50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50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50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50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50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50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50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50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50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50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50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50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50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50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50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50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50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50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50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50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50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50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50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50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50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50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50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50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50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50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50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50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50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50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50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50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50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50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50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50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50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50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50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50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50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50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50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50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50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50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50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50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50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50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50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50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50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50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50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50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50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50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50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50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50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50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50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50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50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50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50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50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50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50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50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50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50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50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50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50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50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50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50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50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50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50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50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50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50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50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50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50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50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50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50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50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50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50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50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50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50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50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50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50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50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50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50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50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50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50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50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50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50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50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50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50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50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50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50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50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50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50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50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50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50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50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50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50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50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50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50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50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50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50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50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50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50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50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50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50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50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50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50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50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50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50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50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50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50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50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50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50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50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50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50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50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50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50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50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50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50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50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50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50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50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50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50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50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50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50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50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50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50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50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50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50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50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50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50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50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50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50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50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50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50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50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50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50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50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50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50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50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50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50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50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50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50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50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50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50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50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50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50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50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50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50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50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50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50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50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50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50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50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50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50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50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50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50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50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50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50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50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50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50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50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50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50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50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50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50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50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50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50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50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50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50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50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50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50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50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50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50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50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50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50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50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50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50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50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50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50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50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50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50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50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50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50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50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50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50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50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50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50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50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50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50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50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50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50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50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50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50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50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50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50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50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50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50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50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50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50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50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50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50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50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50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50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50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50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50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50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50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50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50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50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50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50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50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50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50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50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50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50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50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50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50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50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50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50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50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50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50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50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50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50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50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50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50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50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50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50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50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50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50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50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50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50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50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50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50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50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50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50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50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50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50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50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50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50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50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50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50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50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50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50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50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50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50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50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50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50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50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50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50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50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50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50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50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50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50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50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50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50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50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50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50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50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50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50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50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50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50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50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50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50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50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50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50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50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50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50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50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50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50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50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50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50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50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50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50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50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50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50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50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50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50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50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50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50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50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50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50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50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50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50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50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50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50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50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50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50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50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50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50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50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50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50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50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50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50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50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50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50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50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50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50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50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50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50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50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50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50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50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50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50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50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50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50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50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50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50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50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50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50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50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50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50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50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50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50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50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50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50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50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50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50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50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50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50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50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50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50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50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50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50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50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50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50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50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50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50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50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50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50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50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50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50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50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50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50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50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50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50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50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50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50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50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50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50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50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50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50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50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50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50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50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50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50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50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50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50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50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50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50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50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50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50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50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50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50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50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50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50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50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50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50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50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50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50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50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50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50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50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50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50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50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50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50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50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50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50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50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50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50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50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50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50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50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50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50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50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50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50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50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50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50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50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50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50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50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50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50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50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50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50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50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50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50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50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50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50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50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50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50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50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50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50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50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50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50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50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50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50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50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50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50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50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50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50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50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50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50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50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50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50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50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50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50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50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50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50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50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50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50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50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50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50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50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50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50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50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50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50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50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50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50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50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50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50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50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50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50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50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50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50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50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50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50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50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50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50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50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50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50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50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50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50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50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50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50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50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50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50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50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50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50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50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50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50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50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50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50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50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50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50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50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50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50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50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50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50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50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50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50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50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50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50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50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50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50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50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50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50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50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50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50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50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50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50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50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50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50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50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50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50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50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50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50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50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50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50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50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50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50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50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50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50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50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50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50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50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50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50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50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50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50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50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50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50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50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50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50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50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50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50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50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50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50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50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50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50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50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50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50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50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50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50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50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50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50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50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50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50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50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50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50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50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50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50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50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50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50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50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50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50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50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50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50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50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50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50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50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50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50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50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50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50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50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50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50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50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50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50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50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50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50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50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50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50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50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50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50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50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50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50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50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50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50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50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50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50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50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50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50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50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50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50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50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50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50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50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50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50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50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50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50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50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50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50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50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50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50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50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50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50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50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4">
    <mergeCell ref="B1:D1"/>
    <mergeCell ref="E1:G1"/>
    <mergeCell ref="H1:J1"/>
    <mergeCell ref="K1:M1"/>
  </mergeCells>
  <conditionalFormatting sqref="B3:K7 M3:M7 L4:L5 L7">
    <cfRule type="cellIs" dxfId="0" priority="1" operator="greaterThan">
      <formula>"50%"</formula>
    </cfRule>
  </conditionalFormatting>
  <conditionalFormatting sqref="B3:K7 M3:M7 L4:L5 L7">
    <cfRule type="cellIs" dxfId="1" priority="2" operator="lessThan">
      <formula>"50%"</formula>
    </cfRule>
  </conditionalFormatting>
  <conditionalFormatting sqref="B3:K7 M3:M7 L4:L5 L7">
    <cfRule type="cellIs" dxfId="2" priority="3" operator="between">
      <formula>"49%"</formula>
      <formula>"51%"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38.88"/>
    <col customWidth="1" min="2" max="2" width="37.38"/>
    <col customWidth="1" min="7" max="7" width="20.88"/>
    <col hidden="1" min="8" max="10" width="12.63"/>
  </cols>
  <sheetData>
    <row r="1">
      <c r="A1" s="7" t="s">
        <v>442</v>
      </c>
      <c r="B1" s="7" t="s">
        <v>443</v>
      </c>
      <c r="C1" s="5" t="s">
        <v>444</v>
      </c>
      <c r="D1" s="5" t="s">
        <v>445</v>
      </c>
      <c r="E1" s="5" t="s">
        <v>5</v>
      </c>
      <c r="F1" s="5" t="s">
        <v>6</v>
      </c>
      <c r="G1" s="52" t="s">
        <v>446</v>
      </c>
      <c r="H1" s="53"/>
      <c r="I1" s="53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14" t="s">
        <v>447</v>
      </c>
      <c r="B2" s="14" t="str">
        <f t="shared" ref="B2:B401" si="1">CONCATENATE(I2, " ", J2)</f>
        <v>Reid Adams</v>
      </c>
      <c r="C2" s="54">
        <v>1866.0</v>
      </c>
      <c r="D2" s="10">
        <v>46.0</v>
      </c>
      <c r="E2" s="54" t="s">
        <v>12</v>
      </c>
      <c r="F2" s="54" t="s">
        <v>13</v>
      </c>
      <c r="G2" s="55" t="s">
        <v>448</v>
      </c>
      <c r="H2" s="56" t="s">
        <v>449</v>
      </c>
      <c r="I2" s="56" t="s">
        <v>450</v>
      </c>
      <c r="J2" s="9" t="str">
        <f t="shared" ref="J2:J626" si="2">PROPER(H2)</f>
        <v>Adams</v>
      </c>
    </row>
    <row r="3">
      <c r="A3" s="14" t="s">
        <v>447</v>
      </c>
      <c r="B3" s="14" t="str">
        <f t="shared" si="1"/>
        <v>Ryan Adams</v>
      </c>
      <c r="C3" s="54">
        <v>1869.0</v>
      </c>
      <c r="D3" s="10">
        <v>43.0</v>
      </c>
      <c r="E3" s="54" t="s">
        <v>12</v>
      </c>
      <c r="F3" s="54" t="s">
        <v>13</v>
      </c>
      <c r="G3" s="55" t="s">
        <v>448</v>
      </c>
      <c r="H3" s="56" t="s">
        <v>449</v>
      </c>
      <c r="I3" s="56" t="s">
        <v>451</v>
      </c>
      <c r="J3" s="9" t="str">
        <f t="shared" si="2"/>
        <v>Adams</v>
      </c>
    </row>
    <row r="4" ht="13.5" customHeight="1">
      <c r="A4" s="14" t="s">
        <v>447</v>
      </c>
      <c r="B4" s="14" t="str">
        <f t="shared" si="1"/>
        <v>Violet Adams</v>
      </c>
      <c r="C4" s="54">
        <v>1845.0</v>
      </c>
      <c r="D4" s="10">
        <v>67.0</v>
      </c>
      <c r="E4" s="54" t="s">
        <v>18</v>
      </c>
      <c r="F4" s="54" t="s">
        <v>19</v>
      </c>
      <c r="G4" s="55" t="s">
        <v>448</v>
      </c>
      <c r="H4" s="56" t="s">
        <v>449</v>
      </c>
      <c r="I4" s="56" t="s">
        <v>452</v>
      </c>
      <c r="J4" s="9" t="str">
        <f t="shared" si="2"/>
        <v>Adams</v>
      </c>
    </row>
    <row r="5">
      <c r="A5" s="14" t="s">
        <v>447</v>
      </c>
      <c r="B5" s="14" t="str">
        <f t="shared" si="1"/>
        <v>Brad Alexander</v>
      </c>
      <c r="C5" s="54">
        <v>1891.0</v>
      </c>
      <c r="D5" s="10">
        <v>21.0</v>
      </c>
      <c r="E5" s="54" t="s">
        <v>22</v>
      </c>
      <c r="F5" s="54" t="s">
        <v>13</v>
      </c>
      <c r="G5" s="55" t="s">
        <v>448</v>
      </c>
      <c r="H5" s="56" t="s">
        <v>453</v>
      </c>
      <c r="I5" s="56" t="s">
        <v>454</v>
      </c>
      <c r="J5" s="9" t="str">
        <f t="shared" si="2"/>
        <v>Alexander</v>
      </c>
    </row>
    <row r="6">
      <c r="A6" s="14" t="s">
        <v>447</v>
      </c>
      <c r="B6" s="14" t="str">
        <f t="shared" si="1"/>
        <v>Edith Alexander</v>
      </c>
      <c r="C6" s="54">
        <v>1887.0</v>
      </c>
      <c r="D6" s="10">
        <v>25.0</v>
      </c>
      <c r="E6" s="54" t="s">
        <v>22</v>
      </c>
      <c r="F6" s="54" t="s">
        <v>19</v>
      </c>
      <c r="G6" s="55" t="s">
        <v>448</v>
      </c>
      <c r="H6" s="56" t="s">
        <v>453</v>
      </c>
      <c r="I6" s="56" t="s">
        <v>455</v>
      </c>
      <c r="J6" s="9" t="str">
        <f t="shared" si="2"/>
        <v>Alexander</v>
      </c>
    </row>
    <row r="7">
      <c r="A7" s="14" t="s">
        <v>447</v>
      </c>
      <c r="B7" s="14" t="str">
        <f t="shared" si="1"/>
        <v>Ellia Alexander</v>
      </c>
      <c r="C7" s="54">
        <v>1870.0</v>
      </c>
      <c r="D7" s="10">
        <v>42.0</v>
      </c>
      <c r="E7" s="54" t="s">
        <v>22</v>
      </c>
      <c r="F7" s="54" t="s">
        <v>19</v>
      </c>
      <c r="G7" s="55" t="s">
        <v>448</v>
      </c>
      <c r="H7" s="56" t="s">
        <v>453</v>
      </c>
      <c r="I7" s="56" t="s">
        <v>456</v>
      </c>
      <c r="J7" s="9" t="str">
        <f t="shared" si="2"/>
        <v>Alexander</v>
      </c>
    </row>
    <row r="8">
      <c r="A8" s="14" t="s">
        <v>447</v>
      </c>
      <c r="B8" s="14" t="str">
        <f t="shared" si="1"/>
        <v>Gianna Alexander</v>
      </c>
      <c r="C8" s="54">
        <v>1906.0</v>
      </c>
      <c r="D8" s="10">
        <v>6.0</v>
      </c>
      <c r="E8" s="54" t="s">
        <v>12</v>
      </c>
      <c r="F8" s="54" t="s">
        <v>13</v>
      </c>
      <c r="G8" s="55" t="s">
        <v>448</v>
      </c>
      <c r="H8" s="56" t="s">
        <v>453</v>
      </c>
      <c r="I8" s="56" t="s">
        <v>457</v>
      </c>
      <c r="J8" s="9" t="str">
        <f t="shared" si="2"/>
        <v>Alexander</v>
      </c>
    </row>
    <row r="9" ht="15.0" customHeight="1">
      <c r="A9" s="14" t="s">
        <v>447</v>
      </c>
      <c r="B9" s="14" t="str">
        <f t="shared" si="1"/>
        <v>Sawyer Alexander</v>
      </c>
      <c r="C9" s="54">
        <v>1860.0</v>
      </c>
      <c r="D9" s="10">
        <v>52.0</v>
      </c>
      <c r="E9" s="54" t="s">
        <v>33</v>
      </c>
      <c r="F9" s="54" t="s">
        <v>13</v>
      </c>
      <c r="G9" s="55" t="s">
        <v>448</v>
      </c>
      <c r="H9" s="56" t="s">
        <v>453</v>
      </c>
      <c r="I9" s="56" t="s">
        <v>458</v>
      </c>
      <c r="J9" s="9" t="str">
        <f t="shared" si="2"/>
        <v>Alexander</v>
      </c>
    </row>
    <row r="10" ht="15.0" customHeight="1">
      <c r="A10" s="14" t="s">
        <v>447</v>
      </c>
      <c r="B10" s="14" t="str">
        <f t="shared" si="1"/>
        <v>Jacob Allen</v>
      </c>
      <c r="C10" s="54">
        <v>1884.0</v>
      </c>
      <c r="D10" s="10">
        <v>28.0</v>
      </c>
      <c r="E10" s="54" t="s">
        <v>22</v>
      </c>
      <c r="F10" s="54" t="s">
        <v>13</v>
      </c>
      <c r="G10" s="55" t="s">
        <v>448</v>
      </c>
      <c r="H10" s="56" t="s">
        <v>459</v>
      </c>
      <c r="I10" s="56" t="s">
        <v>460</v>
      </c>
      <c r="J10" s="9" t="str">
        <f t="shared" si="2"/>
        <v>Allen</v>
      </c>
    </row>
    <row r="11" ht="15.0" customHeight="1">
      <c r="A11" s="14" t="s">
        <v>447</v>
      </c>
      <c r="B11" s="14" t="str">
        <f t="shared" si="1"/>
        <v>Naomi Allen</v>
      </c>
      <c r="C11" s="54">
        <v>1877.0</v>
      </c>
      <c r="D11" s="10">
        <v>35.0</v>
      </c>
      <c r="E11" s="54" t="s">
        <v>12</v>
      </c>
      <c r="F11" s="54" t="s">
        <v>13</v>
      </c>
      <c r="G11" s="55" t="s">
        <v>448</v>
      </c>
      <c r="H11" s="56" t="s">
        <v>459</v>
      </c>
      <c r="I11" s="56" t="s">
        <v>461</v>
      </c>
      <c r="J11" s="9" t="str">
        <f t="shared" si="2"/>
        <v>Allen</v>
      </c>
    </row>
    <row r="12" ht="15.0" customHeight="1">
      <c r="A12" s="14" t="s">
        <v>447</v>
      </c>
      <c r="B12" s="14" t="str">
        <f t="shared" si="1"/>
        <v>Paige Allen</v>
      </c>
      <c r="C12" s="54">
        <v>1905.0</v>
      </c>
      <c r="D12" s="10">
        <v>7.0</v>
      </c>
      <c r="E12" s="54" t="s">
        <v>33</v>
      </c>
      <c r="F12" s="54" t="s">
        <v>19</v>
      </c>
      <c r="G12" s="55" t="s">
        <v>448</v>
      </c>
      <c r="H12" s="56" t="s">
        <v>459</v>
      </c>
      <c r="I12" s="56" t="s">
        <v>462</v>
      </c>
      <c r="J12" s="9" t="str">
        <f t="shared" si="2"/>
        <v>Allen</v>
      </c>
    </row>
    <row r="13" ht="15.0" customHeight="1">
      <c r="A13" s="14" t="s">
        <v>447</v>
      </c>
      <c r="B13" s="14" t="str">
        <f t="shared" si="1"/>
        <v>Aldus Anderson</v>
      </c>
      <c r="C13" s="54">
        <v>1879.0</v>
      </c>
      <c r="D13" s="10">
        <v>33.0</v>
      </c>
      <c r="E13" s="54" t="s">
        <v>12</v>
      </c>
      <c r="F13" s="54" t="s">
        <v>19</v>
      </c>
      <c r="G13" s="55" t="s">
        <v>448</v>
      </c>
      <c r="H13" s="56" t="s">
        <v>463</v>
      </c>
      <c r="I13" s="56" t="s">
        <v>464</v>
      </c>
      <c r="J13" s="9" t="str">
        <f t="shared" si="2"/>
        <v>Anderson</v>
      </c>
    </row>
    <row r="14" ht="15.0" customHeight="1">
      <c r="A14" s="14" t="s">
        <v>447</v>
      </c>
      <c r="B14" s="14" t="str">
        <f t="shared" si="1"/>
        <v>Amelia Anderson</v>
      </c>
      <c r="C14" s="54">
        <v>1888.0</v>
      </c>
      <c r="D14" s="10">
        <v>24.0</v>
      </c>
      <c r="E14" s="54" t="s">
        <v>22</v>
      </c>
      <c r="F14" s="54" t="s">
        <v>19</v>
      </c>
      <c r="G14" s="55" t="s">
        <v>448</v>
      </c>
      <c r="H14" s="56" t="s">
        <v>463</v>
      </c>
      <c r="I14" s="56" t="s">
        <v>465</v>
      </c>
      <c r="J14" s="9" t="str">
        <f t="shared" si="2"/>
        <v>Anderson</v>
      </c>
    </row>
    <row r="15" ht="15.0" customHeight="1">
      <c r="A15" s="14" t="s">
        <v>447</v>
      </c>
      <c r="B15" s="14" t="str">
        <f t="shared" si="1"/>
        <v>Annabella Anderson</v>
      </c>
      <c r="C15" s="54">
        <v>1863.0</v>
      </c>
      <c r="D15" s="10">
        <v>49.0</v>
      </c>
      <c r="E15" s="54" t="s">
        <v>33</v>
      </c>
      <c r="F15" s="54" t="s">
        <v>19</v>
      </c>
      <c r="G15" s="55" t="s">
        <v>448</v>
      </c>
      <c r="H15" s="56" t="s">
        <v>463</v>
      </c>
      <c r="I15" s="56" t="s">
        <v>466</v>
      </c>
      <c r="J15" s="9" t="str">
        <f t="shared" si="2"/>
        <v>Anderson</v>
      </c>
    </row>
    <row r="16" ht="15.0" customHeight="1">
      <c r="A16" s="14" t="s">
        <v>447</v>
      </c>
      <c r="B16" s="14" t="str">
        <f t="shared" si="1"/>
        <v>Lily Anderson</v>
      </c>
      <c r="C16" s="54">
        <v>1864.0</v>
      </c>
      <c r="D16" s="10">
        <v>48.0</v>
      </c>
      <c r="E16" s="54" t="s">
        <v>22</v>
      </c>
      <c r="F16" s="54" t="s">
        <v>19</v>
      </c>
      <c r="G16" s="55" t="s">
        <v>448</v>
      </c>
      <c r="H16" s="56" t="s">
        <v>463</v>
      </c>
      <c r="I16" s="56" t="s">
        <v>467</v>
      </c>
      <c r="J16" s="9" t="str">
        <f t="shared" si="2"/>
        <v>Anderson</v>
      </c>
    </row>
    <row r="17" ht="15.0" customHeight="1">
      <c r="A17" s="14" t="s">
        <v>447</v>
      </c>
      <c r="B17" s="14" t="str">
        <f t="shared" si="1"/>
        <v>Melanie Anderson</v>
      </c>
      <c r="C17" s="54">
        <v>1895.0</v>
      </c>
      <c r="D17" s="10">
        <v>17.0</v>
      </c>
      <c r="E17" s="54" t="s">
        <v>12</v>
      </c>
      <c r="F17" s="54" t="s">
        <v>19</v>
      </c>
      <c r="G17" s="55" t="s">
        <v>448</v>
      </c>
      <c r="H17" s="56" t="s">
        <v>463</v>
      </c>
      <c r="I17" s="56" t="s">
        <v>468</v>
      </c>
      <c r="J17" s="9" t="str">
        <f t="shared" si="2"/>
        <v>Anderson</v>
      </c>
    </row>
    <row r="18" ht="15.0" customHeight="1">
      <c r="A18" s="14" t="s">
        <v>447</v>
      </c>
      <c r="B18" s="14" t="str">
        <f t="shared" si="1"/>
        <v>Walter Anderson</v>
      </c>
      <c r="C18" s="54">
        <v>1847.0</v>
      </c>
      <c r="D18" s="10">
        <v>65.0</v>
      </c>
      <c r="E18" s="54" t="s">
        <v>33</v>
      </c>
      <c r="F18" s="54" t="s">
        <v>19</v>
      </c>
      <c r="G18" s="55" t="s">
        <v>448</v>
      </c>
      <c r="H18" s="56" t="s">
        <v>463</v>
      </c>
      <c r="I18" s="56" t="s">
        <v>469</v>
      </c>
      <c r="J18" s="9" t="str">
        <f t="shared" si="2"/>
        <v>Anderson</v>
      </c>
    </row>
    <row r="19" ht="15.0" customHeight="1">
      <c r="A19" s="14" t="s">
        <v>447</v>
      </c>
      <c r="B19" s="14" t="str">
        <f t="shared" si="1"/>
        <v>Aiden Andrews</v>
      </c>
      <c r="C19" s="54">
        <v>1874.0</v>
      </c>
      <c r="D19" s="10">
        <v>38.0</v>
      </c>
      <c r="E19" s="54" t="s">
        <v>12</v>
      </c>
      <c r="F19" s="54" t="s">
        <v>19</v>
      </c>
      <c r="G19" s="55" t="s">
        <v>448</v>
      </c>
      <c r="H19" s="56" t="s">
        <v>470</v>
      </c>
      <c r="I19" s="56" t="s">
        <v>471</v>
      </c>
      <c r="J19" s="9" t="str">
        <f t="shared" si="2"/>
        <v>Andrews</v>
      </c>
    </row>
    <row r="20" ht="15.0" customHeight="1">
      <c r="A20" s="14" t="s">
        <v>447</v>
      </c>
      <c r="B20" s="14" t="str">
        <f t="shared" si="1"/>
        <v>Alfred Andrews</v>
      </c>
      <c r="C20" s="54">
        <v>1877.0</v>
      </c>
      <c r="D20" s="10">
        <v>35.0</v>
      </c>
      <c r="E20" s="54" t="s">
        <v>22</v>
      </c>
      <c r="F20" s="54" t="s">
        <v>19</v>
      </c>
      <c r="G20" s="55" t="s">
        <v>448</v>
      </c>
      <c r="H20" s="56" t="s">
        <v>470</v>
      </c>
      <c r="I20" s="56" t="s">
        <v>472</v>
      </c>
      <c r="J20" s="9" t="str">
        <f t="shared" si="2"/>
        <v>Andrews</v>
      </c>
    </row>
    <row r="21" ht="15.0" customHeight="1">
      <c r="A21" s="14" t="s">
        <v>447</v>
      </c>
      <c r="B21" s="14" t="str">
        <f t="shared" si="1"/>
        <v>Catherine Andrews</v>
      </c>
      <c r="C21" s="54">
        <v>1881.0</v>
      </c>
      <c r="D21" s="10">
        <v>31.0</v>
      </c>
      <c r="E21" s="54" t="s">
        <v>12</v>
      </c>
      <c r="F21" s="54" t="s">
        <v>13</v>
      </c>
      <c r="G21" s="55" t="s">
        <v>448</v>
      </c>
      <c r="H21" s="56" t="s">
        <v>470</v>
      </c>
      <c r="I21" s="56" t="s">
        <v>473</v>
      </c>
      <c r="J21" s="9" t="str">
        <f t="shared" si="2"/>
        <v>Andrews</v>
      </c>
    </row>
    <row r="22" ht="15.0" customHeight="1">
      <c r="A22" s="14" t="s">
        <v>447</v>
      </c>
      <c r="B22" s="14" t="str">
        <f t="shared" si="1"/>
        <v>Sabrina Andrews</v>
      </c>
      <c r="C22" s="54">
        <v>1849.0</v>
      </c>
      <c r="D22" s="10">
        <v>63.0</v>
      </c>
      <c r="E22" s="54" t="s">
        <v>12</v>
      </c>
      <c r="F22" s="54" t="s">
        <v>13</v>
      </c>
      <c r="G22" s="55" t="s">
        <v>448</v>
      </c>
      <c r="H22" s="56" t="s">
        <v>470</v>
      </c>
      <c r="I22" s="56" t="s">
        <v>474</v>
      </c>
      <c r="J22" s="9" t="str">
        <f t="shared" si="2"/>
        <v>Andrews</v>
      </c>
    </row>
    <row r="23" ht="15.0" customHeight="1">
      <c r="A23" s="14" t="s">
        <v>447</v>
      </c>
      <c r="B23" s="14" t="str">
        <f t="shared" si="1"/>
        <v>Walter Andrews</v>
      </c>
      <c r="C23" s="54">
        <v>1862.0</v>
      </c>
      <c r="D23" s="10">
        <v>50.0</v>
      </c>
      <c r="E23" s="54" t="s">
        <v>22</v>
      </c>
      <c r="F23" s="54" t="s">
        <v>13</v>
      </c>
      <c r="G23" s="55" t="s">
        <v>448</v>
      </c>
      <c r="H23" s="56" t="s">
        <v>470</v>
      </c>
      <c r="I23" s="56" t="s">
        <v>469</v>
      </c>
      <c r="J23" s="9" t="str">
        <f t="shared" si="2"/>
        <v>Andrews</v>
      </c>
    </row>
    <row r="24" ht="15.0" customHeight="1">
      <c r="A24" s="14" t="s">
        <v>447</v>
      </c>
      <c r="B24" s="14" t="str">
        <f t="shared" si="1"/>
        <v>Alexia Armstrong</v>
      </c>
      <c r="C24" s="54">
        <v>1864.0</v>
      </c>
      <c r="D24" s="10">
        <v>48.0</v>
      </c>
      <c r="E24" s="54" t="s">
        <v>18</v>
      </c>
      <c r="F24" s="54" t="s">
        <v>19</v>
      </c>
      <c r="G24" s="55" t="s">
        <v>448</v>
      </c>
      <c r="H24" s="56" t="s">
        <v>475</v>
      </c>
      <c r="I24" s="56" t="s">
        <v>476</v>
      </c>
      <c r="J24" s="9" t="str">
        <f t="shared" si="2"/>
        <v>Armstrong</v>
      </c>
    </row>
    <row r="25" ht="15.0" customHeight="1">
      <c r="A25" s="14" t="s">
        <v>447</v>
      </c>
      <c r="B25" s="14" t="str">
        <f t="shared" si="1"/>
        <v>Fenton Armstrong</v>
      </c>
      <c r="C25" s="54">
        <v>1870.0</v>
      </c>
      <c r="D25" s="10">
        <v>42.0</v>
      </c>
      <c r="E25" s="54" t="s">
        <v>18</v>
      </c>
      <c r="F25" s="54" t="s">
        <v>19</v>
      </c>
      <c r="G25" s="55" t="s">
        <v>448</v>
      </c>
      <c r="H25" s="56" t="s">
        <v>475</v>
      </c>
      <c r="I25" s="56" t="s">
        <v>477</v>
      </c>
      <c r="J25" s="9" t="str">
        <f t="shared" si="2"/>
        <v>Armstrong</v>
      </c>
    </row>
    <row r="26" ht="15.0" customHeight="1">
      <c r="A26" s="14" t="s">
        <v>447</v>
      </c>
      <c r="B26" s="14" t="str">
        <f t="shared" si="1"/>
        <v>Kimberly Armstrong</v>
      </c>
      <c r="C26" s="54">
        <v>1882.0</v>
      </c>
      <c r="D26" s="10">
        <v>30.0</v>
      </c>
      <c r="E26" s="54" t="s">
        <v>22</v>
      </c>
      <c r="F26" s="54" t="s">
        <v>19</v>
      </c>
      <c r="G26" s="55" t="s">
        <v>448</v>
      </c>
      <c r="H26" s="56" t="s">
        <v>475</v>
      </c>
      <c r="I26" s="56" t="s">
        <v>478</v>
      </c>
      <c r="J26" s="9" t="str">
        <f t="shared" si="2"/>
        <v>Armstrong</v>
      </c>
    </row>
    <row r="27" ht="15.0" customHeight="1">
      <c r="A27" s="14" t="s">
        <v>447</v>
      </c>
      <c r="B27" s="14" t="str">
        <f t="shared" si="1"/>
        <v>Dainton Bailey</v>
      </c>
      <c r="C27" s="54">
        <v>1907.0</v>
      </c>
      <c r="D27" s="10">
        <v>5.0</v>
      </c>
      <c r="E27" s="54" t="s">
        <v>12</v>
      </c>
      <c r="F27" s="54" t="s">
        <v>13</v>
      </c>
      <c r="G27" s="55" t="s">
        <v>448</v>
      </c>
      <c r="H27" s="56" t="s">
        <v>479</v>
      </c>
      <c r="I27" s="56" t="s">
        <v>480</v>
      </c>
      <c r="J27" s="9" t="str">
        <f t="shared" si="2"/>
        <v>Bailey</v>
      </c>
    </row>
    <row r="28" ht="15.0" customHeight="1">
      <c r="A28" s="14" t="s">
        <v>447</v>
      </c>
      <c r="B28" s="14" t="str">
        <f t="shared" si="1"/>
        <v>Hailey Bailey</v>
      </c>
      <c r="C28" s="54">
        <v>1864.0</v>
      </c>
      <c r="D28" s="10">
        <v>48.0</v>
      </c>
      <c r="E28" s="54" t="s">
        <v>22</v>
      </c>
      <c r="F28" s="54" t="s">
        <v>19</v>
      </c>
      <c r="G28" s="55" t="s">
        <v>448</v>
      </c>
      <c r="H28" s="56" t="s">
        <v>479</v>
      </c>
      <c r="I28" s="56" t="s">
        <v>481</v>
      </c>
      <c r="J28" s="9" t="str">
        <f t="shared" si="2"/>
        <v>Bailey</v>
      </c>
    </row>
    <row r="29" ht="15.0" customHeight="1">
      <c r="A29" s="14" t="s">
        <v>447</v>
      </c>
      <c r="B29" s="14" t="str">
        <f t="shared" si="1"/>
        <v>Max Bailey</v>
      </c>
      <c r="C29" s="54">
        <v>1849.0</v>
      </c>
      <c r="D29" s="10">
        <v>63.0</v>
      </c>
      <c r="E29" s="54" t="s">
        <v>22</v>
      </c>
      <c r="F29" s="54" t="s">
        <v>19</v>
      </c>
      <c r="G29" s="55" t="s">
        <v>448</v>
      </c>
      <c r="H29" s="56" t="s">
        <v>479</v>
      </c>
      <c r="I29" s="56" t="s">
        <v>482</v>
      </c>
      <c r="J29" s="9" t="str">
        <f t="shared" si="2"/>
        <v>Bailey</v>
      </c>
    </row>
    <row r="30" ht="15.0" customHeight="1">
      <c r="A30" s="14" t="s">
        <v>447</v>
      </c>
      <c r="B30" s="14" t="str">
        <f t="shared" si="1"/>
        <v>Owen Bailey</v>
      </c>
      <c r="C30" s="54">
        <v>1886.0</v>
      </c>
      <c r="D30" s="10">
        <v>26.0</v>
      </c>
      <c r="E30" s="54" t="s">
        <v>33</v>
      </c>
      <c r="F30" s="54" t="s">
        <v>19</v>
      </c>
      <c r="G30" s="55" t="s">
        <v>448</v>
      </c>
      <c r="H30" s="56" t="s">
        <v>479</v>
      </c>
      <c r="I30" s="56" t="s">
        <v>483</v>
      </c>
      <c r="J30" s="9" t="str">
        <f t="shared" si="2"/>
        <v>Bailey</v>
      </c>
    </row>
    <row r="31" ht="15.0" customHeight="1">
      <c r="A31" s="14" t="s">
        <v>447</v>
      </c>
      <c r="B31" s="14" t="str">
        <f t="shared" si="1"/>
        <v>Rubie Bailey</v>
      </c>
      <c r="C31" s="54">
        <v>1865.0</v>
      </c>
      <c r="D31" s="10">
        <v>47.0</v>
      </c>
      <c r="E31" s="54" t="s">
        <v>12</v>
      </c>
      <c r="F31" s="54" t="s">
        <v>13</v>
      </c>
      <c r="G31" s="55" t="s">
        <v>448</v>
      </c>
      <c r="H31" s="56" t="s">
        <v>479</v>
      </c>
      <c r="I31" s="56" t="s">
        <v>484</v>
      </c>
      <c r="J31" s="9" t="str">
        <f t="shared" si="2"/>
        <v>Bailey</v>
      </c>
    </row>
    <row r="32" ht="15.0" customHeight="1">
      <c r="A32" s="14" t="s">
        <v>447</v>
      </c>
      <c r="B32" s="14" t="str">
        <f t="shared" si="1"/>
        <v>Samantha Bailey</v>
      </c>
      <c r="C32" s="54">
        <v>1883.0</v>
      </c>
      <c r="D32" s="10">
        <v>29.0</v>
      </c>
      <c r="E32" s="54" t="s">
        <v>22</v>
      </c>
      <c r="F32" s="54" t="s">
        <v>19</v>
      </c>
      <c r="G32" s="55" t="s">
        <v>448</v>
      </c>
      <c r="H32" s="56" t="s">
        <v>479</v>
      </c>
      <c r="I32" s="56" t="s">
        <v>485</v>
      </c>
      <c r="J32" s="9" t="str">
        <f t="shared" si="2"/>
        <v>Bailey</v>
      </c>
    </row>
    <row r="33" ht="15.0" customHeight="1">
      <c r="A33" s="14" t="s">
        <v>447</v>
      </c>
      <c r="B33" s="14" t="str">
        <f t="shared" si="1"/>
        <v>Evelyn Baker</v>
      </c>
      <c r="C33" s="54">
        <v>1893.0</v>
      </c>
      <c r="D33" s="10">
        <v>19.0</v>
      </c>
      <c r="E33" s="54" t="s">
        <v>22</v>
      </c>
      <c r="F33" s="54" t="s">
        <v>19</v>
      </c>
      <c r="G33" s="55" t="s">
        <v>448</v>
      </c>
      <c r="H33" s="56" t="s">
        <v>486</v>
      </c>
      <c r="I33" s="56" t="s">
        <v>487</v>
      </c>
      <c r="J33" s="9" t="str">
        <f t="shared" si="2"/>
        <v>Baker</v>
      </c>
    </row>
    <row r="34" ht="15.0" customHeight="1">
      <c r="A34" s="14" t="s">
        <v>447</v>
      </c>
      <c r="B34" s="14" t="str">
        <f t="shared" si="1"/>
        <v>Joyce Baker</v>
      </c>
      <c r="C34" s="54">
        <v>1910.0</v>
      </c>
      <c r="D34" s="10">
        <v>2.0</v>
      </c>
      <c r="E34" s="54" t="s">
        <v>12</v>
      </c>
      <c r="F34" s="54" t="s">
        <v>13</v>
      </c>
      <c r="G34" s="55" t="s">
        <v>448</v>
      </c>
      <c r="H34" s="56" t="s">
        <v>486</v>
      </c>
      <c r="I34" s="56" t="s">
        <v>488</v>
      </c>
      <c r="J34" s="9" t="str">
        <f t="shared" si="2"/>
        <v>Baker</v>
      </c>
    </row>
    <row r="35" ht="15.0" customHeight="1">
      <c r="A35" s="14" t="s">
        <v>447</v>
      </c>
      <c r="B35" s="14" t="str">
        <f t="shared" si="1"/>
        <v>Miller Baker</v>
      </c>
      <c r="C35" s="54">
        <v>1890.0</v>
      </c>
      <c r="D35" s="10">
        <v>22.0</v>
      </c>
      <c r="E35" s="54" t="s">
        <v>22</v>
      </c>
      <c r="F35" s="54" t="s">
        <v>19</v>
      </c>
      <c r="G35" s="55" t="s">
        <v>448</v>
      </c>
      <c r="H35" s="56" t="s">
        <v>486</v>
      </c>
      <c r="I35" s="56" t="s">
        <v>489</v>
      </c>
      <c r="J35" s="9" t="str">
        <f t="shared" si="2"/>
        <v>Baker</v>
      </c>
    </row>
    <row r="36" ht="15.0" customHeight="1">
      <c r="A36" s="14" t="s">
        <v>447</v>
      </c>
      <c r="B36" s="14" t="str">
        <f t="shared" si="1"/>
        <v>Sarah Baker</v>
      </c>
      <c r="C36" s="54">
        <v>1846.0</v>
      </c>
      <c r="D36" s="10">
        <v>66.0</v>
      </c>
      <c r="E36" s="54" t="s">
        <v>12</v>
      </c>
      <c r="F36" s="54" t="s">
        <v>13</v>
      </c>
      <c r="G36" s="55" t="s">
        <v>448</v>
      </c>
      <c r="H36" s="56" t="s">
        <v>486</v>
      </c>
      <c r="I36" s="56" t="s">
        <v>490</v>
      </c>
      <c r="J36" s="9" t="str">
        <f t="shared" si="2"/>
        <v>Baker</v>
      </c>
    </row>
    <row r="37" ht="15.0" customHeight="1">
      <c r="A37" s="14" t="s">
        <v>447</v>
      </c>
      <c r="B37" s="14" t="str">
        <f t="shared" si="1"/>
        <v>James Barnes</v>
      </c>
      <c r="C37" s="54">
        <v>1840.0</v>
      </c>
      <c r="D37" s="10">
        <v>72.0</v>
      </c>
      <c r="E37" s="54" t="s">
        <v>22</v>
      </c>
      <c r="F37" s="54" t="s">
        <v>19</v>
      </c>
      <c r="G37" s="55" t="s">
        <v>448</v>
      </c>
      <c r="H37" s="56" t="s">
        <v>491</v>
      </c>
      <c r="I37" s="56" t="s">
        <v>492</v>
      </c>
      <c r="J37" s="9" t="str">
        <f t="shared" si="2"/>
        <v>Barnes</v>
      </c>
    </row>
    <row r="38" ht="15.0" customHeight="1">
      <c r="A38" s="14" t="s">
        <v>447</v>
      </c>
      <c r="B38" s="14" t="str">
        <f t="shared" si="1"/>
        <v>Stuart Barnes</v>
      </c>
      <c r="C38" s="54">
        <v>1902.0</v>
      </c>
      <c r="D38" s="10">
        <v>10.0</v>
      </c>
      <c r="E38" s="54" t="s">
        <v>33</v>
      </c>
      <c r="F38" s="54" t="s">
        <v>19</v>
      </c>
      <c r="G38" s="55" t="s">
        <v>448</v>
      </c>
      <c r="H38" s="56" t="s">
        <v>491</v>
      </c>
      <c r="I38" s="56" t="s">
        <v>493</v>
      </c>
      <c r="J38" s="9" t="str">
        <f t="shared" si="2"/>
        <v>Barnes</v>
      </c>
    </row>
    <row r="39" ht="15.0" customHeight="1">
      <c r="A39" s="14" t="s">
        <v>447</v>
      </c>
      <c r="B39" s="14" t="str">
        <f t="shared" si="1"/>
        <v>Anna Barrett</v>
      </c>
      <c r="C39" s="54">
        <v>1875.0</v>
      </c>
      <c r="D39" s="10">
        <v>37.0</v>
      </c>
      <c r="E39" s="54" t="s">
        <v>33</v>
      </c>
      <c r="F39" s="54" t="s">
        <v>19</v>
      </c>
      <c r="G39" s="55" t="s">
        <v>448</v>
      </c>
      <c r="H39" s="56" t="s">
        <v>494</v>
      </c>
      <c r="I39" s="56" t="s">
        <v>495</v>
      </c>
      <c r="J39" s="9" t="str">
        <f t="shared" si="2"/>
        <v>Barrett</v>
      </c>
    </row>
    <row r="40" ht="15.0" customHeight="1">
      <c r="A40" s="14" t="s">
        <v>447</v>
      </c>
      <c r="B40" s="14" t="str">
        <f t="shared" si="1"/>
        <v>Charlotte Barrett</v>
      </c>
      <c r="C40" s="54">
        <v>1895.0</v>
      </c>
      <c r="D40" s="10">
        <v>17.0</v>
      </c>
      <c r="E40" s="54" t="s">
        <v>22</v>
      </c>
      <c r="F40" s="54" t="s">
        <v>13</v>
      </c>
      <c r="G40" s="55" t="s">
        <v>448</v>
      </c>
      <c r="H40" s="56" t="s">
        <v>494</v>
      </c>
      <c r="I40" s="56" t="s">
        <v>496</v>
      </c>
      <c r="J40" s="9" t="str">
        <f t="shared" si="2"/>
        <v>Barrett</v>
      </c>
    </row>
    <row r="41" ht="15.0" customHeight="1">
      <c r="A41" s="14" t="s">
        <v>447</v>
      </c>
      <c r="B41" s="14" t="str">
        <f t="shared" si="1"/>
        <v>Julian Barrett</v>
      </c>
      <c r="C41" s="54">
        <v>1882.0</v>
      </c>
      <c r="D41" s="10">
        <v>30.0</v>
      </c>
      <c r="E41" s="54" t="s">
        <v>22</v>
      </c>
      <c r="F41" s="54" t="s">
        <v>19</v>
      </c>
      <c r="G41" s="55" t="s">
        <v>448</v>
      </c>
      <c r="H41" s="56" t="s">
        <v>494</v>
      </c>
      <c r="I41" s="56" t="s">
        <v>497</v>
      </c>
      <c r="J41" s="9" t="str">
        <f t="shared" si="2"/>
        <v>Barrett</v>
      </c>
    </row>
    <row r="42" ht="15.0" customHeight="1">
      <c r="A42" s="14" t="s">
        <v>447</v>
      </c>
      <c r="B42" s="14" t="str">
        <f t="shared" si="1"/>
        <v>Lucia Barrett</v>
      </c>
      <c r="C42" s="54">
        <v>1862.0</v>
      </c>
      <c r="D42" s="10">
        <v>50.0</v>
      </c>
      <c r="E42" s="54" t="s">
        <v>22</v>
      </c>
      <c r="F42" s="54" t="s">
        <v>19</v>
      </c>
      <c r="G42" s="55" t="s">
        <v>448</v>
      </c>
      <c r="H42" s="56" t="s">
        <v>494</v>
      </c>
      <c r="I42" s="56" t="s">
        <v>498</v>
      </c>
      <c r="J42" s="9" t="str">
        <f t="shared" si="2"/>
        <v>Barrett</v>
      </c>
    </row>
    <row r="43" ht="15.0" customHeight="1">
      <c r="A43" s="14" t="s">
        <v>447</v>
      </c>
      <c r="B43" s="14" t="str">
        <f t="shared" si="1"/>
        <v>Olivia Barrett</v>
      </c>
      <c r="C43" s="54">
        <v>1843.0</v>
      </c>
      <c r="D43" s="10">
        <v>69.0</v>
      </c>
      <c r="E43" s="54" t="s">
        <v>33</v>
      </c>
      <c r="F43" s="54" t="s">
        <v>19</v>
      </c>
      <c r="G43" s="55" t="s">
        <v>448</v>
      </c>
      <c r="H43" s="56" t="s">
        <v>494</v>
      </c>
      <c r="I43" s="56" t="s">
        <v>499</v>
      </c>
      <c r="J43" s="9" t="str">
        <f t="shared" si="2"/>
        <v>Barrett</v>
      </c>
    </row>
    <row r="44" ht="15.0" customHeight="1">
      <c r="A44" s="14" t="s">
        <v>447</v>
      </c>
      <c r="B44" s="14" t="str">
        <f t="shared" si="1"/>
        <v>Brianna Brooks</v>
      </c>
      <c r="C44" s="54">
        <v>1879.0</v>
      </c>
      <c r="D44" s="10">
        <v>33.0</v>
      </c>
      <c r="E44" s="54" t="s">
        <v>18</v>
      </c>
      <c r="F44" s="54" t="s">
        <v>19</v>
      </c>
      <c r="G44" s="55" t="s">
        <v>448</v>
      </c>
      <c r="H44" s="56" t="s">
        <v>500</v>
      </c>
      <c r="I44" s="56" t="s">
        <v>501</v>
      </c>
      <c r="J44" s="9" t="str">
        <f t="shared" si="2"/>
        <v>Brooks</v>
      </c>
    </row>
    <row r="45" ht="15.0" customHeight="1">
      <c r="A45" s="14" t="s">
        <v>447</v>
      </c>
      <c r="B45" s="14" t="str">
        <f t="shared" si="1"/>
        <v>Eddy Brooks</v>
      </c>
      <c r="C45" s="54">
        <v>1901.0</v>
      </c>
      <c r="D45" s="10">
        <v>11.0</v>
      </c>
      <c r="E45" s="54" t="s">
        <v>33</v>
      </c>
      <c r="F45" s="54" t="s">
        <v>13</v>
      </c>
      <c r="G45" s="55" t="s">
        <v>448</v>
      </c>
      <c r="H45" s="56" t="s">
        <v>500</v>
      </c>
      <c r="I45" s="56" t="s">
        <v>502</v>
      </c>
      <c r="J45" s="9" t="str">
        <f t="shared" si="2"/>
        <v>Brooks</v>
      </c>
    </row>
    <row r="46" ht="15.0" customHeight="1">
      <c r="A46" s="14" t="s">
        <v>447</v>
      </c>
      <c r="B46" s="14" t="str">
        <f t="shared" si="1"/>
        <v>Jessica Brooks</v>
      </c>
      <c r="C46" s="54">
        <v>1888.0</v>
      </c>
      <c r="D46" s="10">
        <v>24.0</v>
      </c>
      <c r="E46" s="54" t="s">
        <v>33</v>
      </c>
      <c r="F46" s="54" t="s">
        <v>19</v>
      </c>
      <c r="G46" s="55" t="s">
        <v>448</v>
      </c>
      <c r="H46" s="56" t="s">
        <v>500</v>
      </c>
      <c r="I46" s="56" t="s">
        <v>503</v>
      </c>
      <c r="J46" s="9" t="str">
        <f t="shared" si="2"/>
        <v>Brooks</v>
      </c>
    </row>
    <row r="47" ht="15.0" customHeight="1">
      <c r="A47" s="14" t="s">
        <v>447</v>
      </c>
      <c r="B47" s="14" t="str">
        <f t="shared" si="1"/>
        <v>Lilianna Brooks</v>
      </c>
      <c r="C47" s="54">
        <v>1898.0</v>
      </c>
      <c r="D47" s="10">
        <v>14.0</v>
      </c>
      <c r="E47" s="54" t="s">
        <v>18</v>
      </c>
      <c r="F47" s="54" t="s">
        <v>19</v>
      </c>
      <c r="G47" s="55" t="s">
        <v>448</v>
      </c>
      <c r="H47" s="56" t="s">
        <v>500</v>
      </c>
      <c r="I47" s="56" t="s">
        <v>504</v>
      </c>
      <c r="J47" s="9" t="str">
        <f t="shared" si="2"/>
        <v>Brooks</v>
      </c>
    </row>
    <row r="48" ht="15.0" customHeight="1">
      <c r="A48" s="14" t="s">
        <v>447</v>
      </c>
      <c r="B48" s="14" t="str">
        <f t="shared" si="1"/>
        <v>Martin Brooks</v>
      </c>
      <c r="C48" s="54">
        <v>1879.0</v>
      </c>
      <c r="D48" s="10">
        <v>33.0</v>
      </c>
      <c r="E48" s="54" t="s">
        <v>12</v>
      </c>
      <c r="F48" s="54" t="s">
        <v>13</v>
      </c>
      <c r="G48" s="55" t="s">
        <v>448</v>
      </c>
      <c r="H48" s="56" t="s">
        <v>500</v>
      </c>
      <c r="I48" s="56" t="s">
        <v>505</v>
      </c>
      <c r="J48" s="9" t="str">
        <f t="shared" si="2"/>
        <v>Brooks</v>
      </c>
    </row>
    <row r="49" ht="15.0" customHeight="1">
      <c r="A49" s="14" t="s">
        <v>447</v>
      </c>
      <c r="B49" s="14" t="str">
        <f t="shared" si="1"/>
        <v>Walter Brown</v>
      </c>
      <c r="C49" s="54">
        <v>1876.0</v>
      </c>
      <c r="D49" s="10">
        <v>36.0</v>
      </c>
      <c r="E49" s="54" t="s">
        <v>33</v>
      </c>
      <c r="F49" s="54" t="s">
        <v>19</v>
      </c>
      <c r="G49" s="55" t="s">
        <v>448</v>
      </c>
      <c r="H49" s="56" t="s">
        <v>506</v>
      </c>
      <c r="I49" s="56" t="s">
        <v>469</v>
      </c>
      <c r="J49" s="9" t="str">
        <f t="shared" si="2"/>
        <v>Brown</v>
      </c>
    </row>
    <row r="50" ht="15.0" customHeight="1">
      <c r="A50" s="14" t="s">
        <v>447</v>
      </c>
      <c r="B50" s="14" t="str">
        <f t="shared" si="1"/>
        <v>Deanna Cameron</v>
      </c>
      <c r="C50" s="54">
        <v>1844.0</v>
      </c>
      <c r="D50" s="10">
        <v>68.0</v>
      </c>
      <c r="E50" s="54" t="s">
        <v>18</v>
      </c>
      <c r="F50" s="54" t="s">
        <v>13</v>
      </c>
      <c r="G50" s="55" t="s">
        <v>448</v>
      </c>
      <c r="H50" s="56" t="s">
        <v>507</v>
      </c>
      <c r="I50" s="56" t="s">
        <v>508</v>
      </c>
      <c r="J50" s="9" t="str">
        <f t="shared" si="2"/>
        <v>Cameron</v>
      </c>
    </row>
    <row r="51" ht="15.0" customHeight="1">
      <c r="A51" s="14" t="s">
        <v>447</v>
      </c>
      <c r="B51" s="14" t="str">
        <f t="shared" si="1"/>
        <v>Eric Cameron</v>
      </c>
      <c r="C51" s="54">
        <v>1894.0</v>
      </c>
      <c r="D51" s="10">
        <v>18.0</v>
      </c>
      <c r="E51" s="54" t="s">
        <v>12</v>
      </c>
      <c r="F51" s="54" t="s">
        <v>19</v>
      </c>
      <c r="G51" s="55" t="s">
        <v>448</v>
      </c>
      <c r="H51" s="56" t="s">
        <v>507</v>
      </c>
      <c r="I51" s="56" t="s">
        <v>509</v>
      </c>
      <c r="J51" s="9" t="str">
        <f t="shared" si="2"/>
        <v>Cameron</v>
      </c>
    </row>
    <row r="52" ht="15.0" customHeight="1">
      <c r="A52" s="14" t="s">
        <v>447</v>
      </c>
      <c r="B52" s="14" t="str">
        <f t="shared" si="1"/>
        <v>Lucas Cameron</v>
      </c>
      <c r="C52" s="54">
        <v>1848.0</v>
      </c>
      <c r="D52" s="10">
        <v>64.0</v>
      </c>
      <c r="E52" s="54" t="s">
        <v>22</v>
      </c>
      <c r="F52" s="54" t="s">
        <v>13</v>
      </c>
      <c r="G52" s="55" t="s">
        <v>448</v>
      </c>
      <c r="H52" s="56" t="s">
        <v>507</v>
      </c>
      <c r="I52" s="56" t="s">
        <v>510</v>
      </c>
      <c r="J52" s="9" t="str">
        <f t="shared" si="2"/>
        <v>Cameron</v>
      </c>
    </row>
    <row r="53" ht="15.0" customHeight="1">
      <c r="A53" s="14" t="s">
        <v>447</v>
      </c>
      <c r="B53" s="14" t="str">
        <f t="shared" si="1"/>
        <v>Lyndon Cameron</v>
      </c>
      <c r="C53" s="54">
        <v>1874.0</v>
      </c>
      <c r="D53" s="10">
        <v>38.0</v>
      </c>
      <c r="E53" s="54" t="s">
        <v>33</v>
      </c>
      <c r="F53" s="54" t="s">
        <v>19</v>
      </c>
      <c r="G53" s="55" t="s">
        <v>448</v>
      </c>
      <c r="H53" s="56" t="s">
        <v>507</v>
      </c>
      <c r="I53" s="56" t="s">
        <v>511</v>
      </c>
      <c r="J53" s="9" t="str">
        <f t="shared" si="2"/>
        <v>Cameron</v>
      </c>
    </row>
    <row r="54" ht="15.0" customHeight="1">
      <c r="A54" s="14" t="s">
        <v>447</v>
      </c>
      <c r="B54" s="14" t="str">
        <f t="shared" si="1"/>
        <v>April Campbell</v>
      </c>
      <c r="C54" s="54">
        <v>1884.0</v>
      </c>
      <c r="D54" s="10">
        <v>28.0</v>
      </c>
      <c r="E54" s="54" t="s">
        <v>33</v>
      </c>
      <c r="F54" s="54" t="s">
        <v>19</v>
      </c>
      <c r="G54" s="55" t="s">
        <v>448</v>
      </c>
      <c r="H54" s="56" t="s">
        <v>512</v>
      </c>
      <c r="I54" s="56" t="s">
        <v>513</v>
      </c>
      <c r="J54" s="9" t="str">
        <f t="shared" si="2"/>
        <v>Campbell</v>
      </c>
    </row>
    <row r="55" ht="15.0" customHeight="1">
      <c r="A55" s="14" t="s">
        <v>447</v>
      </c>
      <c r="B55" s="14" t="str">
        <f t="shared" si="1"/>
        <v>Carl Campbell</v>
      </c>
      <c r="C55" s="54">
        <v>1854.0</v>
      </c>
      <c r="D55" s="10">
        <v>58.0</v>
      </c>
      <c r="E55" s="54" t="s">
        <v>18</v>
      </c>
      <c r="F55" s="54" t="s">
        <v>19</v>
      </c>
      <c r="G55" s="55" t="s">
        <v>448</v>
      </c>
      <c r="H55" s="56" t="s">
        <v>512</v>
      </c>
      <c r="I55" s="56" t="s">
        <v>514</v>
      </c>
      <c r="J55" s="9" t="str">
        <f t="shared" si="2"/>
        <v>Campbell</v>
      </c>
    </row>
    <row r="56" ht="15.0" customHeight="1">
      <c r="A56" s="14" t="s">
        <v>447</v>
      </c>
      <c r="B56" s="14" t="str">
        <f t="shared" si="1"/>
        <v>Justin Carroll</v>
      </c>
      <c r="C56" s="54">
        <v>1854.0</v>
      </c>
      <c r="D56" s="10">
        <v>58.0</v>
      </c>
      <c r="E56" s="54" t="s">
        <v>33</v>
      </c>
      <c r="F56" s="54" t="s">
        <v>19</v>
      </c>
      <c r="G56" s="55" t="s">
        <v>448</v>
      </c>
      <c r="H56" s="56" t="s">
        <v>515</v>
      </c>
      <c r="I56" s="56" t="s">
        <v>516</v>
      </c>
      <c r="J56" s="9" t="str">
        <f t="shared" si="2"/>
        <v>Carroll</v>
      </c>
    </row>
    <row r="57" ht="15.0" customHeight="1">
      <c r="A57" s="14" t="s">
        <v>447</v>
      </c>
      <c r="B57" s="14" t="str">
        <f t="shared" si="1"/>
        <v>Lilianna Carroll</v>
      </c>
      <c r="C57" s="54">
        <v>1892.0</v>
      </c>
      <c r="D57" s="10">
        <v>20.0</v>
      </c>
      <c r="E57" s="54" t="s">
        <v>33</v>
      </c>
      <c r="F57" s="54" t="s">
        <v>19</v>
      </c>
      <c r="G57" s="55" t="s">
        <v>448</v>
      </c>
      <c r="H57" s="56" t="s">
        <v>515</v>
      </c>
      <c r="I57" s="56" t="s">
        <v>504</v>
      </c>
      <c r="J57" s="9" t="str">
        <f t="shared" si="2"/>
        <v>Carroll</v>
      </c>
    </row>
    <row r="58" ht="15.0" customHeight="1">
      <c r="A58" s="14" t="s">
        <v>447</v>
      </c>
      <c r="B58" s="14" t="str">
        <f t="shared" si="1"/>
        <v>Miranda Carroll</v>
      </c>
      <c r="C58" s="54">
        <v>1875.0</v>
      </c>
      <c r="D58" s="10">
        <v>37.0</v>
      </c>
      <c r="E58" s="54" t="s">
        <v>22</v>
      </c>
      <c r="F58" s="54" t="s">
        <v>19</v>
      </c>
      <c r="G58" s="55" t="s">
        <v>448</v>
      </c>
      <c r="H58" s="56" t="s">
        <v>515</v>
      </c>
      <c r="I58" s="56" t="s">
        <v>517</v>
      </c>
      <c r="J58" s="9" t="str">
        <f t="shared" si="2"/>
        <v>Carroll</v>
      </c>
    </row>
    <row r="59" ht="15.0" customHeight="1">
      <c r="A59" s="14" t="s">
        <v>447</v>
      </c>
      <c r="B59" s="14" t="str">
        <f t="shared" si="1"/>
        <v>Roman Carroll</v>
      </c>
      <c r="C59" s="54">
        <v>1876.0</v>
      </c>
      <c r="D59" s="10">
        <v>36.0</v>
      </c>
      <c r="E59" s="54" t="s">
        <v>22</v>
      </c>
      <c r="F59" s="54" t="s">
        <v>19</v>
      </c>
      <c r="G59" s="55" t="s">
        <v>448</v>
      </c>
      <c r="H59" s="56" t="s">
        <v>515</v>
      </c>
      <c r="I59" s="56" t="s">
        <v>518</v>
      </c>
      <c r="J59" s="9" t="str">
        <f t="shared" si="2"/>
        <v>Carroll</v>
      </c>
    </row>
    <row r="60" ht="15.0" customHeight="1">
      <c r="A60" s="14" t="s">
        <v>447</v>
      </c>
      <c r="B60" s="14" t="str">
        <f t="shared" si="1"/>
        <v>Dexter Carter</v>
      </c>
      <c r="C60" s="54">
        <v>1859.0</v>
      </c>
      <c r="D60" s="10">
        <v>53.0</v>
      </c>
      <c r="E60" s="54" t="s">
        <v>22</v>
      </c>
      <c r="F60" s="54" t="s">
        <v>19</v>
      </c>
      <c r="G60" s="55" t="s">
        <v>448</v>
      </c>
      <c r="H60" s="56" t="s">
        <v>519</v>
      </c>
      <c r="I60" s="56" t="s">
        <v>520</v>
      </c>
      <c r="J60" s="9" t="str">
        <f t="shared" si="2"/>
        <v>Carter</v>
      </c>
    </row>
    <row r="61" ht="15.0" customHeight="1">
      <c r="A61" s="14" t="s">
        <v>447</v>
      </c>
      <c r="B61" s="14" t="str">
        <f t="shared" si="1"/>
        <v>Eric Carter</v>
      </c>
      <c r="C61" s="54">
        <v>1897.0</v>
      </c>
      <c r="D61" s="10">
        <v>15.0</v>
      </c>
      <c r="E61" s="54" t="s">
        <v>18</v>
      </c>
      <c r="F61" s="54" t="s">
        <v>13</v>
      </c>
      <c r="G61" s="55" t="s">
        <v>448</v>
      </c>
      <c r="H61" s="56" t="s">
        <v>519</v>
      </c>
      <c r="I61" s="56" t="s">
        <v>509</v>
      </c>
      <c r="J61" s="9" t="str">
        <f t="shared" si="2"/>
        <v>Carter</v>
      </c>
    </row>
    <row r="62" ht="15.0" customHeight="1">
      <c r="A62" s="14" t="s">
        <v>447</v>
      </c>
      <c r="B62" s="14" t="str">
        <f t="shared" si="1"/>
        <v>Isabella Carter</v>
      </c>
      <c r="C62" s="54">
        <v>1871.0</v>
      </c>
      <c r="D62" s="10">
        <v>41.0</v>
      </c>
      <c r="E62" s="54" t="s">
        <v>22</v>
      </c>
      <c r="F62" s="54" t="s">
        <v>13</v>
      </c>
      <c r="G62" s="55" t="s">
        <v>448</v>
      </c>
      <c r="H62" s="56" t="s">
        <v>519</v>
      </c>
      <c r="I62" s="56" t="s">
        <v>521</v>
      </c>
      <c r="J62" s="9" t="str">
        <f t="shared" si="2"/>
        <v>Carter</v>
      </c>
    </row>
    <row r="63" ht="15.0" customHeight="1">
      <c r="A63" s="14" t="s">
        <v>447</v>
      </c>
      <c r="B63" s="14" t="str">
        <f t="shared" si="1"/>
        <v>Samantha Carter</v>
      </c>
      <c r="C63" s="54">
        <v>1909.0</v>
      </c>
      <c r="D63" s="10">
        <v>3.0</v>
      </c>
      <c r="E63" s="54" t="s">
        <v>33</v>
      </c>
      <c r="F63" s="54" t="s">
        <v>19</v>
      </c>
      <c r="G63" s="55" t="s">
        <v>448</v>
      </c>
      <c r="H63" s="56" t="s">
        <v>519</v>
      </c>
      <c r="I63" s="56" t="s">
        <v>485</v>
      </c>
      <c r="J63" s="9" t="str">
        <f t="shared" si="2"/>
        <v>Carter</v>
      </c>
    </row>
    <row r="64" ht="15.0" customHeight="1">
      <c r="A64" s="14" t="s">
        <v>447</v>
      </c>
      <c r="B64" s="14" t="str">
        <f t="shared" si="1"/>
        <v>Wilson Carter</v>
      </c>
      <c r="C64" s="54">
        <v>1849.0</v>
      </c>
      <c r="D64" s="10">
        <v>63.0</v>
      </c>
      <c r="E64" s="54" t="s">
        <v>33</v>
      </c>
      <c r="F64" s="54" t="s">
        <v>13</v>
      </c>
      <c r="G64" s="55" t="s">
        <v>448</v>
      </c>
      <c r="H64" s="56" t="s">
        <v>519</v>
      </c>
      <c r="I64" s="56" t="s">
        <v>522</v>
      </c>
      <c r="J64" s="9" t="str">
        <f t="shared" si="2"/>
        <v>Carter</v>
      </c>
    </row>
    <row r="65" ht="15.0" customHeight="1">
      <c r="A65" s="14" t="s">
        <v>447</v>
      </c>
      <c r="B65" s="14" t="str">
        <f t="shared" si="1"/>
        <v>Brianna Casey</v>
      </c>
      <c r="C65" s="54">
        <v>1876.0</v>
      </c>
      <c r="D65" s="10">
        <v>36.0</v>
      </c>
      <c r="E65" s="54" t="s">
        <v>33</v>
      </c>
      <c r="F65" s="54" t="s">
        <v>19</v>
      </c>
      <c r="G65" s="55" t="s">
        <v>448</v>
      </c>
      <c r="H65" s="56" t="s">
        <v>523</v>
      </c>
      <c r="I65" s="56" t="s">
        <v>501</v>
      </c>
      <c r="J65" s="9" t="str">
        <f t="shared" si="2"/>
        <v>Casey</v>
      </c>
    </row>
    <row r="66" ht="15.0" customHeight="1">
      <c r="A66" s="14" t="s">
        <v>447</v>
      </c>
      <c r="B66" s="14" t="str">
        <f t="shared" si="1"/>
        <v>Adelaide Chapman</v>
      </c>
      <c r="C66" s="54">
        <v>1850.0</v>
      </c>
      <c r="D66" s="10">
        <v>62.0</v>
      </c>
      <c r="E66" s="54" t="s">
        <v>18</v>
      </c>
      <c r="F66" s="54" t="s">
        <v>13</v>
      </c>
      <c r="G66" s="55" t="s">
        <v>448</v>
      </c>
      <c r="H66" s="56" t="s">
        <v>524</v>
      </c>
      <c r="I66" s="56" t="s">
        <v>525</v>
      </c>
      <c r="J66" s="9" t="str">
        <f t="shared" si="2"/>
        <v>Chapman</v>
      </c>
    </row>
    <row r="67" ht="15.0" customHeight="1">
      <c r="A67" s="14" t="s">
        <v>447</v>
      </c>
      <c r="B67" s="14" t="str">
        <f t="shared" si="1"/>
        <v>Arthur Chapman</v>
      </c>
      <c r="C67" s="54">
        <v>1884.0</v>
      </c>
      <c r="D67" s="10">
        <v>28.0</v>
      </c>
      <c r="E67" s="54" t="s">
        <v>22</v>
      </c>
      <c r="F67" s="54" t="s">
        <v>19</v>
      </c>
      <c r="G67" s="55" t="s">
        <v>448</v>
      </c>
      <c r="H67" s="56" t="s">
        <v>524</v>
      </c>
      <c r="I67" s="56" t="s">
        <v>526</v>
      </c>
      <c r="J67" s="9" t="str">
        <f t="shared" si="2"/>
        <v>Chapman</v>
      </c>
    </row>
    <row r="68" ht="15.0" customHeight="1">
      <c r="A68" s="14" t="s">
        <v>447</v>
      </c>
      <c r="B68" s="14" t="str">
        <f t="shared" si="1"/>
        <v>Brad Chapman</v>
      </c>
      <c r="C68" s="54">
        <v>1884.0</v>
      </c>
      <c r="D68" s="10">
        <v>28.0</v>
      </c>
      <c r="E68" s="54" t="s">
        <v>22</v>
      </c>
      <c r="F68" s="54" t="s">
        <v>19</v>
      </c>
      <c r="G68" s="55" t="s">
        <v>448</v>
      </c>
      <c r="H68" s="56" t="s">
        <v>524</v>
      </c>
      <c r="I68" s="56" t="s">
        <v>454</v>
      </c>
      <c r="J68" s="9" t="str">
        <f t="shared" si="2"/>
        <v>Chapman</v>
      </c>
    </row>
    <row r="69" ht="15.0" customHeight="1">
      <c r="A69" s="14" t="s">
        <v>447</v>
      </c>
      <c r="B69" s="14" t="str">
        <f t="shared" si="1"/>
        <v>Lyndon Clark</v>
      </c>
      <c r="C69" s="54">
        <v>1870.0</v>
      </c>
      <c r="D69" s="10">
        <v>42.0</v>
      </c>
      <c r="E69" s="54" t="s">
        <v>12</v>
      </c>
      <c r="F69" s="54" t="s">
        <v>13</v>
      </c>
      <c r="G69" s="55" t="s">
        <v>448</v>
      </c>
      <c r="H69" s="56" t="s">
        <v>527</v>
      </c>
      <c r="I69" s="56" t="s">
        <v>511</v>
      </c>
      <c r="J69" s="9" t="str">
        <f t="shared" si="2"/>
        <v>Clark</v>
      </c>
    </row>
    <row r="70" ht="15.0" customHeight="1">
      <c r="A70" s="14" t="s">
        <v>447</v>
      </c>
      <c r="B70" s="14" t="str">
        <f t="shared" si="1"/>
        <v>Martin Clark</v>
      </c>
      <c r="C70" s="54">
        <v>1874.0</v>
      </c>
      <c r="D70" s="10">
        <v>38.0</v>
      </c>
      <c r="E70" s="54" t="s">
        <v>22</v>
      </c>
      <c r="F70" s="54" t="s">
        <v>13</v>
      </c>
      <c r="G70" s="55" t="s">
        <v>448</v>
      </c>
      <c r="H70" s="56" t="s">
        <v>527</v>
      </c>
      <c r="I70" s="56" t="s">
        <v>505</v>
      </c>
      <c r="J70" s="9" t="str">
        <f t="shared" si="2"/>
        <v>Clark</v>
      </c>
    </row>
    <row r="71" ht="15.0" customHeight="1">
      <c r="A71" s="14" t="s">
        <v>447</v>
      </c>
      <c r="B71" s="14" t="str">
        <f t="shared" si="1"/>
        <v>Miley Clark</v>
      </c>
      <c r="C71" s="54">
        <v>1901.0</v>
      </c>
      <c r="D71" s="10">
        <v>11.0</v>
      </c>
      <c r="E71" s="54" t="s">
        <v>18</v>
      </c>
      <c r="F71" s="54" t="s">
        <v>13</v>
      </c>
      <c r="G71" s="55" t="s">
        <v>448</v>
      </c>
      <c r="H71" s="56" t="s">
        <v>527</v>
      </c>
      <c r="I71" s="56" t="s">
        <v>528</v>
      </c>
      <c r="J71" s="9" t="str">
        <f t="shared" si="2"/>
        <v>Clark</v>
      </c>
    </row>
    <row r="72" ht="15.0" customHeight="1">
      <c r="A72" s="14" t="s">
        <v>447</v>
      </c>
      <c r="B72" s="14" t="str">
        <f t="shared" si="1"/>
        <v>Violet Clark</v>
      </c>
      <c r="C72" s="54">
        <v>1876.0</v>
      </c>
      <c r="D72" s="10">
        <v>36.0</v>
      </c>
      <c r="E72" s="54" t="s">
        <v>22</v>
      </c>
      <c r="F72" s="54" t="s">
        <v>19</v>
      </c>
      <c r="G72" s="55" t="s">
        <v>448</v>
      </c>
      <c r="H72" s="56" t="s">
        <v>527</v>
      </c>
      <c r="I72" s="56" t="s">
        <v>452</v>
      </c>
      <c r="J72" s="9" t="str">
        <f t="shared" si="2"/>
        <v>Clark</v>
      </c>
    </row>
    <row r="73" ht="15.0" customHeight="1">
      <c r="A73" s="14" t="s">
        <v>447</v>
      </c>
      <c r="B73" s="14" t="str">
        <f t="shared" si="1"/>
        <v>Aiden Cole</v>
      </c>
      <c r="C73" s="54">
        <v>1851.0</v>
      </c>
      <c r="D73" s="10">
        <v>61.0</v>
      </c>
      <c r="E73" s="54" t="s">
        <v>18</v>
      </c>
      <c r="F73" s="54" t="s">
        <v>13</v>
      </c>
      <c r="G73" s="55" t="s">
        <v>448</v>
      </c>
      <c r="H73" s="56" t="s">
        <v>529</v>
      </c>
      <c r="I73" s="56" t="s">
        <v>471</v>
      </c>
      <c r="J73" s="9" t="str">
        <f t="shared" si="2"/>
        <v>Cole</v>
      </c>
    </row>
    <row r="74" ht="15.0" customHeight="1">
      <c r="A74" s="14" t="s">
        <v>447</v>
      </c>
      <c r="B74" s="14" t="str">
        <f t="shared" si="1"/>
        <v>Alexia Cole</v>
      </c>
      <c r="C74" s="54">
        <v>1882.0</v>
      </c>
      <c r="D74" s="10">
        <v>30.0</v>
      </c>
      <c r="E74" s="54" t="s">
        <v>33</v>
      </c>
      <c r="F74" s="54" t="s">
        <v>19</v>
      </c>
      <c r="G74" s="55" t="s">
        <v>448</v>
      </c>
      <c r="H74" s="56" t="s">
        <v>529</v>
      </c>
      <c r="I74" s="56" t="s">
        <v>476</v>
      </c>
      <c r="J74" s="9" t="str">
        <f t="shared" si="2"/>
        <v>Cole</v>
      </c>
    </row>
    <row r="75" ht="15.0" customHeight="1">
      <c r="A75" s="14" t="s">
        <v>447</v>
      </c>
      <c r="B75" s="14" t="str">
        <f t="shared" si="1"/>
        <v>Melanie Cole</v>
      </c>
      <c r="C75" s="54">
        <v>1859.0</v>
      </c>
      <c r="D75" s="10">
        <v>53.0</v>
      </c>
      <c r="E75" s="54" t="s">
        <v>18</v>
      </c>
      <c r="F75" s="54" t="s">
        <v>13</v>
      </c>
      <c r="G75" s="55" t="s">
        <v>448</v>
      </c>
      <c r="H75" s="56" t="s">
        <v>529</v>
      </c>
      <c r="I75" s="56" t="s">
        <v>468</v>
      </c>
      <c r="J75" s="9" t="str">
        <f t="shared" si="2"/>
        <v>Cole</v>
      </c>
    </row>
    <row r="76" ht="15.0" customHeight="1">
      <c r="A76" s="14" t="s">
        <v>447</v>
      </c>
      <c r="B76" s="14" t="str">
        <f t="shared" si="1"/>
        <v>Violet Cole</v>
      </c>
      <c r="C76" s="54">
        <v>1897.0</v>
      </c>
      <c r="D76" s="10">
        <v>15.0</v>
      </c>
      <c r="E76" s="54" t="s">
        <v>33</v>
      </c>
      <c r="F76" s="54" t="s">
        <v>19</v>
      </c>
      <c r="G76" s="55" t="s">
        <v>448</v>
      </c>
      <c r="H76" s="56" t="s">
        <v>529</v>
      </c>
      <c r="I76" s="56" t="s">
        <v>452</v>
      </c>
      <c r="J76" s="9" t="str">
        <f t="shared" si="2"/>
        <v>Cole</v>
      </c>
    </row>
    <row r="77" ht="15.0" customHeight="1">
      <c r="A77" s="14" t="s">
        <v>447</v>
      </c>
      <c r="B77" s="14" t="str">
        <f t="shared" si="1"/>
        <v>Violet Cooper</v>
      </c>
      <c r="C77" s="54">
        <v>1861.0</v>
      </c>
      <c r="D77" s="10">
        <v>51.0</v>
      </c>
      <c r="E77" s="54" t="s">
        <v>18</v>
      </c>
      <c r="F77" s="54" t="s">
        <v>19</v>
      </c>
      <c r="G77" s="55" t="s">
        <v>448</v>
      </c>
      <c r="H77" s="56" t="s">
        <v>530</v>
      </c>
      <c r="I77" s="56" t="s">
        <v>452</v>
      </c>
      <c r="J77" s="9" t="str">
        <f t="shared" si="2"/>
        <v>Cooper</v>
      </c>
    </row>
    <row r="78" ht="15.0" customHeight="1">
      <c r="A78" s="14" t="s">
        <v>447</v>
      </c>
      <c r="B78" s="14" t="str">
        <f t="shared" si="1"/>
        <v>Amber Craig</v>
      </c>
      <c r="C78" s="54">
        <v>1860.0</v>
      </c>
      <c r="D78" s="10">
        <v>52.0</v>
      </c>
      <c r="E78" s="54" t="s">
        <v>22</v>
      </c>
      <c r="F78" s="54" t="s">
        <v>19</v>
      </c>
      <c r="G78" s="55" t="s">
        <v>448</v>
      </c>
      <c r="H78" s="56" t="s">
        <v>531</v>
      </c>
      <c r="I78" s="56" t="s">
        <v>532</v>
      </c>
      <c r="J78" s="9" t="str">
        <f t="shared" si="2"/>
        <v>Craig</v>
      </c>
    </row>
    <row r="79" ht="15.0" customHeight="1">
      <c r="A79" s="14" t="s">
        <v>447</v>
      </c>
      <c r="B79" s="14" t="str">
        <f t="shared" si="1"/>
        <v>James Craig</v>
      </c>
      <c r="C79" s="54">
        <v>1860.0</v>
      </c>
      <c r="D79" s="10">
        <v>52.0</v>
      </c>
      <c r="E79" s="54" t="s">
        <v>12</v>
      </c>
      <c r="F79" s="54" t="s">
        <v>13</v>
      </c>
      <c r="G79" s="55" t="s">
        <v>448</v>
      </c>
      <c r="H79" s="56" t="s">
        <v>531</v>
      </c>
      <c r="I79" s="56" t="s">
        <v>492</v>
      </c>
      <c r="J79" s="9" t="str">
        <f t="shared" si="2"/>
        <v>Craig</v>
      </c>
    </row>
    <row r="80" ht="15.0" customHeight="1">
      <c r="A80" s="14" t="s">
        <v>447</v>
      </c>
      <c r="B80" s="14" t="str">
        <f t="shared" si="1"/>
        <v>Jared Craig</v>
      </c>
      <c r="C80" s="54">
        <v>1871.0</v>
      </c>
      <c r="D80" s="10">
        <v>41.0</v>
      </c>
      <c r="E80" s="54" t="s">
        <v>18</v>
      </c>
      <c r="F80" s="54" t="s">
        <v>19</v>
      </c>
      <c r="G80" s="55" t="s">
        <v>448</v>
      </c>
      <c r="H80" s="56" t="s">
        <v>531</v>
      </c>
      <c r="I80" s="56" t="s">
        <v>533</v>
      </c>
      <c r="J80" s="9" t="str">
        <f t="shared" si="2"/>
        <v>Craig</v>
      </c>
    </row>
    <row r="81" ht="15.0" customHeight="1">
      <c r="A81" s="14" t="s">
        <v>447</v>
      </c>
      <c r="B81" s="14" t="str">
        <f t="shared" si="1"/>
        <v>Jordan Craig</v>
      </c>
      <c r="C81" s="54">
        <v>1857.0</v>
      </c>
      <c r="D81" s="10">
        <v>55.0</v>
      </c>
      <c r="E81" s="54" t="s">
        <v>12</v>
      </c>
      <c r="F81" s="54" t="s">
        <v>19</v>
      </c>
      <c r="G81" s="55" t="s">
        <v>448</v>
      </c>
      <c r="H81" s="56" t="s">
        <v>531</v>
      </c>
      <c r="I81" s="56" t="s">
        <v>534</v>
      </c>
      <c r="J81" s="9" t="str">
        <f t="shared" si="2"/>
        <v>Craig</v>
      </c>
    </row>
    <row r="82" ht="15.0" customHeight="1">
      <c r="A82" s="14" t="s">
        <v>447</v>
      </c>
      <c r="B82" s="14" t="str">
        <f t="shared" si="1"/>
        <v>Martin Craig</v>
      </c>
      <c r="C82" s="54">
        <v>1860.0</v>
      </c>
      <c r="D82" s="10">
        <v>52.0</v>
      </c>
      <c r="E82" s="54" t="s">
        <v>12</v>
      </c>
      <c r="F82" s="54" t="s">
        <v>13</v>
      </c>
      <c r="G82" s="55" t="s">
        <v>448</v>
      </c>
      <c r="H82" s="56" t="s">
        <v>531</v>
      </c>
      <c r="I82" s="56" t="s">
        <v>505</v>
      </c>
      <c r="J82" s="9" t="str">
        <f t="shared" si="2"/>
        <v>Craig</v>
      </c>
    </row>
    <row r="83" ht="15.0" customHeight="1">
      <c r="A83" s="14" t="s">
        <v>447</v>
      </c>
      <c r="B83" s="14" t="str">
        <f t="shared" si="1"/>
        <v>Tiana Craig</v>
      </c>
      <c r="C83" s="54">
        <v>1897.0</v>
      </c>
      <c r="D83" s="10">
        <v>15.0</v>
      </c>
      <c r="E83" s="54" t="s">
        <v>33</v>
      </c>
      <c r="F83" s="54" t="s">
        <v>19</v>
      </c>
      <c r="G83" s="55" t="s">
        <v>448</v>
      </c>
      <c r="H83" s="56" t="s">
        <v>531</v>
      </c>
      <c r="I83" s="56" t="s">
        <v>535</v>
      </c>
      <c r="J83" s="9" t="str">
        <f t="shared" si="2"/>
        <v>Craig</v>
      </c>
    </row>
    <row r="84" ht="15.0" customHeight="1">
      <c r="A84" s="14" t="s">
        <v>447</v>
      </c>
      <c r="B84" s="14" t="str">
        <f t="shared" si="1"/>
        <v>Wilson Craig</v>
      </c>
      <c r="C84" s="54">
        <v>1867.0</v>
      </c>
      <c r="D84" s="10">
        <v>45.0</v>
      </c>
      <c r="E84" s="54" t="s">
        <v>22</v>
      </c>
      <c r="F84" s="54" t="s">
        <v>19</v>
      </c>
      <c r="G84" s="55" t="s">
        <v>448</v>
      </c>
      <c r="H84" s="56" t="s">
        <v>531</v>
      </c>
      <c r="I84" s="56" t="s">
        <v>522</v>
      </c>
      <c r="J84" s="9" t="str">
        <f t="shared" si="2"/>
        <v>Craig</v>
      </c>
    </row>
    <row r="85" ht="15.0" customHeight="1">
      <c r="A85" s="14" t="s">
        <v>447</v>
      </c>
      <c r="B85" s="14" t="str">
        <f t="shared" si="1"/>
        <v>Sienna Crawford</v>
      </c>
      <c r="C85" s="54">
        <v>1875.0</v>
      </c>
      <c r="D85" s="10">
        <v>37.0</v>
      </c>
      <c r="E85" s="54" t="s">
        <v>22</v>
      </c>
      <c r="F85" s="54" t="s">
        <v>19</v>
      </c>
      <c r="G85" s="55" t="s">
        <v>448</v>
      </c>
      <c r="H85" s="56" t="s">
        <v>536</v>
      </c>
      <c r="I85" s="56" t="s">
        <v>537</v>
      </c>
      <c r="J85" s="9" t="str">
        <f t="shared" si="2"/>
        <v>Crawford</v>
      </c>
    </row>
    <row r="86" ht="15.0" customHeight="1">
      <c r="A86" s="14" t="s">
        <v>447</v>
      </c>
      <c r="B86" s="14" t="str">
        <f t="shared" si="1"/>
        <v>Edward Cunningham</v>
      </c>
      <c r="C86" s="57">
        <v>1888.0</v>
      </c>
      <c r="D86" s="58">
        <v>24.0</v>
      </c>
      <c r="E86" s="57" t="s">
        <v>22</v>
      </c>
      <c r="F86" s="57" t="s">
        <v>19</v>
      </c>
      <c r="G86" s="55" t="s">
        <v>448</v>
      </c>
      <c r="H86" s="56" t="s">
        <v>538</v>
      </c>
      <c r="I86" s="56" t="s">
        <v>539</v>
      </c>
      <c r="J86" s="9" t="str">
        <f t="shared" si="2"/>
        <v>Cunningham</v>
      </c>
    </row>
    <row r="87" ht="15.0" customHeight="1">
      <c r="A87" s="14" t="s">
        <v>447</v>
      </c>
      <c r="B87" s="14" t="str">
        <f t="shared" si="1"/>
        <v>Preston Cunningham</v>
      </c>
      <c r="C87" s="54">
        <v>1841.0</v>
      </c>
      <c r="D87" s="10">
        <v>71.0</v>
      </c>
      <c r="E87" s="54" t="s">
        <v>22</v>
      </c>
      <c r="F87" s="54" t="s">
        <v>13</v>
      </c>
      <c r="G87" s="55" t="s">
        <v>448</v>
      </c>
      <c r="H87" s="56" t="s">
        <v>538</v>
      </c>
      <c r="I87" s="56" t="s">
        <v>540</v>
      </c>
      <c r="J87" s="9" t="str">
        <f t="shared" si="2"/>
        <v>Cunningham</v>
      </c>
    </row>
    <row r="88" ht="15.0" customHeight="1">
      <c r="A88" s="14" t="s">
        <v>447</v>
      </c>
      <c r="B88" s="14" t="str">
        <f t="shared" si="1"/>
        <v>Ryan Cunningham</v>
      </c>
      <c r="C88" s="54">
        <v>1864.0</v>
      </c>
      <c r="D88" s="10">
        <v>48.0</v>
      </c>
      <c r="E88" s="54" t="s">
        <v>22</v>
      </c>
      <c r="F88" s="54" t="s">
        <v>19</v>
      </c>
      <c r="G88" s="55" t="s">
        <v>448</v>
      </c>
      <c r="H88" s="56" t="s">
        <v>538</v>
      </c>
      <c r="I88" s="56" t="s">
        <v>451</v>
      </c>
      <c r="J88" s="9" t="str">
        <f t="shared" si="2"/>
        <v>Cunningham</v>
      </c>
    </row>
    <row r="89" ht="15.0" customHeight="1">
      <c r="A89" s="14" t="s">
        <v>447</v>
      </c>
      <c r="B89" s="14" t="str">
        <f t="shared" si="1"/>
        <v>Maddie Davis</v>
      </c>
      <c r="C89" s="54">
        <v>1880.0</v>
      </c>
      <c r="D89" s="10">
        <v>32.0</v>
      </c>
      <c r="E89" s="54" t="s">
        <v>22</v>
      </c>
      <c r="F89" s="54" t="s">
        <v>19</v>
      </c>
      <c r="G89" s="55" t="s">
        <v>448</v>
      </c>
      <c r="H89" s="56" t="s">
        <v>541</v>
      </c>
      <c r="I89" s="56" t="s">
        <v>542</v>
      </c>
      <c r="J89" s="9" t="str">
        <f t="shared" si="2"/>
        <v>Davis</v>
      </c>
    </row>
    <row r="90" ht="15.0" customHeight="1">
      <c r="A90" s="14" t="s">
        <v>447</v>
      </c>
      <c r="B90" s="14" t="str">
        <f t="shared" si="1"/>
        <v>Tiana Davis</v>
      </c>
      <c r="C90" s="54">
        <v>1887.0</v>
      </c>
      <c r="D90" s="10">
        <v>25.0</v>
      </c>
      <c r="E90" s="54" t="s">
        <v>33</v>
      </c>
      <c r="F90" s="54" t="s">
        <v>19</v>
      </c>
      <c r="G90" s="55" t="s">
        <v>448</v>
      </c>
      <c r="H90" s="56" t="s">
        <v>541</v>
      </c>
      <c r="I90" s="56" t="s">
        <v>535</v>
      </c>
      <c r="J90" s="9" t="str">
        <f t="shared" si="2"/>
        <v>Davis</v>
      </c>
    </row>
    <row r="91" ht="15.0" customHeight="1">
      <c r="A91" s="14" t="s">
        <v>447</v>
      </c>
      <c r="B91" s="14" t="str">
        <f t="shared" si="1"/>
        <v>Adrian Dixon</v>
      </c>
      <c r="C91" s="54">
        <v>1854.0</v>
      </c>
      <c r="D91" s="10">
        <v>58.0</v>
      </c>
      <c r="E91" s="54" t="s">
        <v>12</v>
      </c>
      <c r="F91" s="54" t="s">
        <v>13</v>
      </c>
      <c r="G91" s="55" t="s">
        <v>448</v>
      </c>
      <c r="H91" s="56" t="s">
        <v>543</v>
      </c>
      <c r="I91" s="56" t="s">
        <v>544</v>
      </c>
      <c r="J91" s="9" t="str">
        <f t="shared" si="2"/>
        <v>Dixon</v>
      </c>
    </row>
    <row r="92" ht="15.0" customHeight="1">
      <c r="A92" s="14" t="s">
        <v>447</v>
      </c>
      <c r="B92" s="14" t="str">
        <f t="shared" si="1"/>
        <v>Alisa Dixon</v>
      </c>
      <c r="C92" s="54">
        <v>1890.0</v>
      </c>
      <c r="D92" s="10">
        <v>22.0</v>
      </c>
      <c r="E92" s="54" t="s">
        <v>33</v>
      </c>
      <c r="F92" s="54" t="s">
        <v>19</v>
      </c>
      <c r="G92" s="55" t="s">
        <v>448</v>
      </c>
      <c r="H92" s="56" t="s">
        <v>543</v>
      </c>
      <c r="I92" s="56" t="s">
        <v>545</v>
      </c>
      <c r="J92" s="9" t="str">
        <f t="shared" si="2"/>
        <v>Dixon</v>
      </c>
    </row>
    <row r="93" ht="15.0" customHeight="1">
      <c r="A93" s="14" t="s">
        <v>447</v>
      </c>
      <c r="B93" s="14" t="str">
        <f t="shared" si="1"/>
        <v>Emma Dixon</v>
      </c>
      <c r="C93" s="54">
        <v>1891.0</v>
      </c>
      <c r="D93" s="10">
        <v>21.0</v>
      </c>
      <c r="E93" s="54" t="s">
        <v>22</v>
      </c>
      <c r="F93" s="54" t="s">
        <v>13</v>
      </c>
      <c r="G93" s="55" t="s">
        <v>448</v>
      </c>
      <c r="H93" s="56" t="s">
        <v>543</v>
      </c>
      <c r="I93" s="56" t="s">
        <v>546</v>
      </c>
      <c r="J93" s="9" t="str">
        <f t="shared" si="2"/>
        <v>Dixon</v>
      </c>
    </row>
    <row r="94" ht="15.0" customHeight="1">
      <c r="A94" s="14" t="s">
        <v>447</v>
      </c>
      <c r="B94" s="14" t="str">
        <f t="shared" si="1"/>
        <v>Florrie Dixon</v>
      </c>
      <c r="C94" s="54">
        <v>1868.0</v>
      </c>
      <c r="D94" s="10">
        <v>44.0</v>
      </c>
      <c r="E94" s="54" t="s">
        <v>33</v>
      </c>
      <c r="F94" s="54" t="s">
        <v>19</v>
      </c>
      <c r="G94" s="55" t="s">
        <v>448</v>
      </c>
      <c r="H94" s="56" t="s">
        <v>543</v>
      </c>
      <c r="I94" s="56" t="s">
        <v>547</v>
      </c>
      <c r="J94" s="9" t="str">
        <f t="shared" si="2"/>
        <v>Dixon</v>
      </c>
    </row>
    <row r="95" ht="15.0" customHeight="1">
      <c r="A95" s="14" t="s">
        <v>447</v>
      </c>
      <c r="B95" s="14" t="str">
        <f t="shared" si="1"/>
        <v>Anna Douglas</v>
      </c>
      <c r="C95" s="54">
        <v>1887.0</v>
      </c>
      <c r="D95" s="10">
        <v>25.0</v>
      </c>
      <c r="E95" s="54" t="s">
        <v>22</v>
      </c>
      <c r="F95" s="54" t="s">
        <v>19</v>
      </c>
      <c r="G95" s="55" t="s">
        <v>448</v>
      </c>
      <c r="H95" s="56" t="s">
        <v>548</v>
      </c>
      <c r="I95" s="56" t="s">
        <v>495</v>
      </c>
      <c r="J95" s="9" t="str">
        <f t="shared" si="2"/>
        <v>Douglas</v>
      </c>
    </row>
    <row r="96" ht="15.0" customHeight="1">
      <c r="A96" s="14" t="s">
        <v>447</v>
      </c>
      <c r="B96" s="14" t="str">
        <f t="shared" si="1"/>
        <v>Carina Douglas</v>
      </c>
      <c r="C96" s="54">
        <v>1849.0</v>
      </c>
      <c r="D96" s="10">
        <v>63.0</v>
      </c>
      <c r="E96" s="54" t="s">
        <v>33</v>
      </c>
      <c r="F96" s="54" t="s">
        <v>19</v>
      </c>
      <c r="G96" s="55" t="s">
        <v>448</v>
      </c>
      <c r="H96" s="56" t="s">
        <v>548</v>
      </c>
      <c r="I96" s="56" t="s">
        <v>549</v>
      </c>
      <c r="J96" s="9" t="str">
        <f t="shared" si="2"/>
        <v>Douglas</v>
      </c>
    </row>
    <row r="97" ht="15.0" customHeight="1">
      <c r="A97" s="14" t="s">
        <v>447</v>
      </c>
      <c r="B97" s="14" t="str">
        <f t="shared" si="1"/>
        <v>Darcy Douglas</v>
      </c>
      <c r="C97" s="54">
        <v>1840.0</v>
      </c>
      <c r="D97" s="10">
        <v>72.0</v>
      </c>
      <c r="E97" s="54" t="s">
        <v>22</v>
      </c>
      <c r="F97" s="54" t="s">
        <v>19</v>
      </c>
      <c r="G97" s="55" t="s">
        <v>448</v>
      </c>
      <c r="H97" s="56" t="s">
        <v>548</v>
      </c>
      <c r="I97" s="56" t="s">
        <v>550</v>
      </c>
      <c r="J97" s="9" t="str">
        <f t="shared" si="2"/>
        <v>Douglas</v>
      </c>
    </row>
    <row r="98" ht="15.0" customHeight="1">
      <c r="A98" s="14" t="s">
        <v>447</v>
      </c>
      <c r="B98" s="14" t="str">
        <f t="shared" si="1"/>
        <v>Emma Douglas</v>
      </c>
      <c r="C98" s="54">
        <v>1890.0</v>
      </c>
      <c r="D98" s="10">
        <v>22.0</v>
      </c>
      <c r="E98" s="54" t="s">
        <v>22</v>
      </c>
      <c r="F98" s="54" t="s">
        <v>19</v>
      </c>
      <c r="G98" s="55" t="s">
        <v>448</v>
      </c>
      <c r="H98" s="56" t="s">
        <v>548</v>
      </c>
      <c r="I98" s="56" t="s">
        <v>546</v>
      </c>
      <c r="J98" s="9" t="str">
        <f t="shared" si="2"/>
        <v>Douglas</v>
      </c>
    </row>
    <row r="99" ht="15.0" customHeight="1">
      <c r="A99" s="14" t="s">
        <v>447</v>
      </c>
      <c r="B99" s="14" t="str">
        <f t="shared" si="1"/>
        <v>Kirsten Douglas</v>
      </c>
      <c r="C99" s="54">
        <v>1894.0</v>
      </c>
      <c r="D99" s="10">
        <v>18.0</v>
      </c>
      <c r="E99" s="54" t="s">
        <v>22</v>
      </c>
      <c r="F99" s="54" t="s">
        <v>19</v>
      </c>
      <c r="G99" s="55" t="s">
        <v>448</v>
      </c>
      <c r="H99" s="56" t="s">
        <v>548</v>
      </c>
      <c r="I99" s="56" t="s">
        <v>551</v>
      </c>
      <c r="J99" s="9" t="str">
        <f t="shared" si="2"/>
        <v>Douglas</v>
      </c>
    </row>
    <row r="100">
      <c r="A100" s="14" t="s">
        <v>447</v>
      </c>
      <c r="B100" s="14" t="str">
        <f t="shared" si="1"/>
        <v>Maria Douglas</v>
      </c>
      <c r="C100" s="54">
        <v>1908.0</v>
      </c>
      <c r="D100" s="10">
        <v>4.0</v>
      </c>
      <c r="E100" s="54" t="s">
        <v>12</v>
      </c>
      <c r="F100" s="54" t="s">
        <v>13</v>
      </c>
      <c r="G100" s="55" t="s">
        <v>448</v>
      </c>
      <c r="H100" s="56" t="s">
        <v>548</v>
      </c>
      <c r="I100" s="56" t="s">
        <v>552</v>
      </c>
      <c r="J100" s="9" t="str">
        <f t="shared" si="2"/>
        <v>Douglas</v>
      </c>
    </row>
    <row r="101">
      <c r="A101" s="14" t="s">
        <v>447</v>
      </c>
      <c r="B101" s="14" t="str">
        <f t="shared" si="1"/>
        <v>Ryan Douglas</v>
      </c>
      <c r="C101" s="54">
        <v>1874.0</v>
      </c>
      <c r="D101" s="10">
        <v>38.0</v>
      </c>
      <c r="E101" s="54" t="s">
        <v>12</v>
      </c>
      <c r="F101" s="54" t="s">
        <v>13</v>
      </c>
      <c r="G101" s="55" t="s">
        <v>448</v>
      </c>
      <c r="H101" s="56" t="s">
        <v>548</v>
      </c>
      <c r="I101" s="56" t="s">
        <v>451</v>
      </c>
      <c r="J101" s="9" t="str">
        <f t="shared" si="2"/>
        <v>Douglas</v>
      </c>
    </row>
    <row r="102">
      <c r="A102" s="14" t="s">
        <v>447</v>
      </c>
      <c r="B102" s="14" t="str">
        <f t="shared" si="1"/>
        <v>Camila Edwards</v>
      </c>
      <c r="C102" s="54">
        <v>1899.0</v>
      </c>
      <c r="D102" s="10">
        <v>13.0</v>
      </c>
      <c r="E102" s="54" t="s">
        <v>33</v>
      </c>
      <c r="F102" s="54" t="s">
        <v>19</v>
      </c>
      <c r="G102" s="55" t="s">
        <v>448</v>
      </c>
      <c r="H102" s="56" t="s">
        <v>553</v>
      </c>
      <c r="I102" s="56" t="s">
        <v>554</v>
      </c>
      <c r="J102" s="9" t="str">
        <f t="shared" si="2"/>
        <v>Edwards</v>
      </c>
    </row>
    <row r="103">
      <c r="A103" s="14" t="s">
        <v>447</v>
      </c>
      <c r="B103" s="14" t="str">
        <f t="shared" si="1"/>
        <v>Emma Edwards</v>
      </c>
      <c r="C103" s="54">
        <v>1880.0</v>
      </c>
      <c r="D103" s="10">
        <v>32.0</v>
      </c>
      <c r="E103" s="54" t="s">
        <v>22</v>
      </c>
      <c r="F103" s="54" t="s">
        <v>19</v>
      </c>
      <c r="G103" s="55" t="s">
        <v>448</v>
      </c>
      <c r="H103" s="56" t="s">
        <v>553</v>
      </c>
      <c r="I103" s="56" t="s">
        <v>546</v>
      </c>
      <c r="J103" s="9" t="str">
        <f t="shared" si="2"/>
        <v>Edwards</v>
      </c>
    </row>
    <row r="104">
      <c r="A104" s="14" t="s">
        <v>447</v>
      </c>
      <c r="B104" s="14" t="str">
        <f t="shared" si="1"/>
        <v>Gianna Edwards</v>
      </c>
      <c r="C104" s="54">
        <v>1907.0</v>
      </c>
      <c r="D104" s="10">
        <v>5.0</v>
      </c>
      <c r="E104" s="54" t="s">
        <v>33</v>
      </c>
      <c r="F104" s="54" t="s">
        <v>13</v>
      </c>
      <c r="G104" s="55" t="s">
        <v>448</v>
      </c>
      <c r="H104" s="56" t="s">
        <v>553</v>
      </c>
      <c r="I104" s="56" t="s">
        <v>457</v>
      </c>
      <c r="J104" s="9" t="str">
        <f t="shared" si="2"/>
        <v>Edwards</v>
      </c>
    </row>
    <row r="105">
      <c r="A105" s="14" t="s">
        <v>447</v>
      </c>
      <c r="B105" s="14" t="str">
        <f t="shared" si="1"/>
        <v>Jack Edwards</v>
      </c>
      <c r="C105" s="54">
        <v>1865.0</v>
      </c>
      <c r="D105" s="10">
        <v>47.0</v>
      </c>
      <c r="E105" s="54" t="s">
        <v>22</v>
      </c>
      <c r="F105" s="54" t="s">
        <v>19</v>
      </c>
      <c r="G105" s="55" t="s">
        <v>448</v>
      </c>
      <c r="H105" s="56" t="s">
        <v>553</v>
      </c>
      <c r="I105" s="56" t="s">
        <v>555</v>
      </c>
      <c r="J105" s="9" t="str">
        <f t="shared" si="2"/>
        <v>Edwards</v>
      </c>
    </row>
    <row r="106">
      <c r="A106" s="14" t="s">
        <v>447</v>
      </c>
      <c r="B106" s="14" t="str">
        <f t="shared" si="1"/>
        <v>Madaline Edwards</v>
      </c>
      <c r="C106" s="54">
        <v>1862.0</v>
      </c>
      <c r="D106" s="10">
        <v>50.0</v>
      </c>
      <c r="E106" s="54" t="s">
        <v>33</v>
      </c>
      <c r="F106" s="54" t="s">
        <v>19</v>
      </c>
      <c r="G106" s="55" t="s">
        <v>448</v>
      </c>
      <c r="H106" s="56" t="s">
        <v>553</v>
      </c>
      <c r="I106" s="56" t="s">
        <v>556</v>
      </c>
      <c r="J106" s="9" t="str">
        <f t="shared" si="2"/>
        <v>Edwards</v>
      </c>
    </row>
    <row r="107">
      <c r="A107" s="14" t="s">
        <v>447</v>
      </c>
      <c r="B107" s="14" t="str">
        <f t="shared" si="1"/>
        <v>Miley Edwards</v>
      </c>
      <c r="C107" s="54">
        <v>1891.0</v>
      </c>
      <c r="D107" s="10">
        <v>21.0</v>
      </c>
      <c r="E107" s="54" t="s">
        <v>33</v>
      </c>
      <c r="F107" s="54" t="s">
        <v>19</v>
      </c>
      <c r="G107" s="55" t="s">
        <v>448</v>
      </c>
      <c r="H107" s="56" t="s">
        <v>553</v>
      </c>
      <c r="I107" s="56" t="s">
        <v>528</v>
      </c>
      <c r="J107" s="9" t="str">
        <f t="shared" si="2"/>
        <v>Edwards</v>
      </c>
    </row>
    <row r="108">
      <c r="A108" s="14" t="s">
        <v>447</v>
      </c>
      <c r="B108" s="14" t="str">
        <f t="shared" si="1"/>
        <v>Preston Edwards</v>
      </c>
      <c r="C108" s="54">
        <v>1853.0</v>
      </c>
      <c r="D108" s="10">
        <v>59.0</v>
      </c>
      <c r="E108" s="54" t="s">
        <v>33</v>
      </c>
      <c r="F108" s="54" t="s">
        <v>19</v>
      </c>
      <c r="G108" s="55" t="s">
        <v>448</v>
      </c>
      <c r="H108" s="56" t="s">
        <v>553</v>
      </c>
      <c r="I108" s="56" t="s">
        <v>540</v>
      </c>
      <c r="J108" s="9" t="str">
        <f t="shared" si="2"/>
        <v>Edwards</v>
      </c>
    </row>
    <row r="109">
      <c r="A109" s="14" t="s">
        <v>447</v>
      </c>
      <c r="B109" s="14" t="str">
        <f t="shared" si="1"/>
        <v>Belinda Elliott</v>
      </c>
      <c r="C109" s="54">
        <v>1878.0</v>
      </c>
      <c r="D109" s="10">
        <v>34.0</v>
      </c>
      <c r="E109" s="54" t="s">
        <v>33</v>
      </c>
      <c r="F109" s="54" t="s">
        <v>13</v>
      </c>
      <c r="G109" s="55" t="s">
        <v>448</v>
      </c>
      <c r="H109" s="56" t="s">
        <v>557</v>
      </c>
      <c r="I109" s="56" t="s">
        <v>558</v>
      </c>
      <c r="J109" s="9" t="str">
        <f t="shared" si="2"/>
        <v>Elliott</v>
      </c>
    </row>
    <row r="110">
      <c r="A110" s="14" t="s">
        <v>447</v>
      </c>
      <c r="B110" s="14" t="str">
        <f t="shared" si="1"/>
        <v>Haris Elliott</v>
      </c>
      <c r="C110" s="54">
        <v>1844.0</v>
      </c>
      <c r="D110" s="10">
        <v>68.0</v>
      </c>
      <c r="E110" s="54" t="s">
        <v>22</v>
      </c>
      <c r="F110" s="54" t="s">
        <v>19</v>
      </c>
      <c r="G110" s="55" t="s">
        <v>448</v>
      </c>
      <c r="H110" s="56" t="s">
        <v>557</v>
      </c>
      <c r="I110" s="56" t="s">
        <v>559</v>
      </c>
      <c r="J110" s="9" t="str">
        <f t="shared" si="2"/>
        <v>Elliott</v>
      </c>
    </row>
    <row r="111">
      <c r="A111" s="14" t="s">
        <v>447</v>
      </c>
      <c r="B111" s="14" t="str">
        <f t="shared" si="1"/>
        <v>Kevin Elliott</v>
      </c>
      <c r="C111" s="54">
        <v>1840.0</v>
      </c>
      <c r="D111" s="10">
        <v>72.0</v>
      </c>
      <c r="E111" s="54" t="s">
        <v>12</v>
      </c>
      <c r="F111" s="54" t="s">
        <v>19</v>
      </c>
      <c r="G111" s="55" t="s">
        <v>448</v>
      </c>
      <c r="H111" s="56" t="s">
        <v>557</v>
      </c>
      <c r="I111" s="56" t="s">
        <v>560</v>
      </c>
      <c r="J111" s="9" t="str">
        <f t="shared" si="2"/>
        <v>Elliott</v>
      </c>
    </row>
    <row r="112">
      <c r="A112" s="14" t="s">
        <v>447</v>
      </c>
      <c r="B112" s="14" t="str">
        <f t="shared" si="1"/>
        <v>Madaline Elliott</v>
      </c>
      <c r="C112" s="54">
        <v>1880.0</v>
      </c>
      <c r="D112" s="10">
        <v>32.0</v>
      </c>
      <c r="E112" s="54" t="s">
        <v>33</v>
      </c>
      <c r="F112" s="54" t="s">
        <v>19</v>
      </c>
      <c r="G112" s="55" t="s">
        <v>448</v>
      </c>
      <c r="H112" s="56" t="s">
        <v>557</v>
      </c>
      <c r="I112" s="56" t="s">
        <v>556</v>
      </c>
      <c r="J112" s="9" t="str">
        <f t="shared" si="2"/>
        <v>Elliott</v>
      </c>
    </row>
    <row r="113">
      <c r="A113" s="14" t="s">
        <v>447</v>
      </c>
      <c r="B113" s="14" t="str">
        <f t="shared" si="1"/>
        <v>Marcus Elliott</v>
      </c>
      <c r="C113" s="54">
        <v>1857.0</v>
      </c>
      <c r="D113" s="10">
        <v>55.0</v>
      </c>
      <c r="E113" s="54" t="s">
        <v>33</v>
      </c>
      <c r="F113" s="54" t="s">
        <v>19</v>
      </c>
      <c r="G113" s="55" t="s">
        <v>448</v>
      </c>
      <c r="H113" s="56" t="s">
        <v>557</v>
      </c>
      <c r="I113" s="56" t="s">
        <v>561</v>
      </c>
      <c r="J113" s="9" t="str">
        <f t="shared" si="2"/>
        <v>Elliott</v>
      </c>
    </row>
    <row r="114">
      <c r="A114" s="14" t="s">
        <v>447</v>
      </c>
      <c r="B114" s="14" t="str">
        <f t="shared" si="1"/>
        <v>Stuart Elliott</v>
      </c>
      <c r="C114" s="54">
        <v>1896.0</v>
      </c>
      <c r="D114" s="10">
        <v>16.0</v>
      </c>
      <c r="E114" s="54" t="s">
        <v>22</v>
      </c>
      <c r="F114" s="54" t="s">
        <v>19</v>
      </c>
      <c r="G114" s="55" t="s">
        <v>448</v>
      </c>
      <c r="H114" s="56" t="s">
        <v>557</v>
      </c>
      <c r="I114" s="56" t="s">
        <v>493</v>
      </c>
      <c r="J114" s="9" t="str">
        <f t="shared" si="2"/>
        <v>Elliott</v>
      </c>
    </row>
    <row r="115">
      <c r="A115" s="14" t="s">
        <v>447</v>
      </c>
      <c r="B115" s="14" t="str">
        <f t="shared" si="1"/>
        <v>April Ellis</v>
      </c>
      <c r="C115" s="54">
        <v>1854.0</v>
      </c>
      <c r="D115" s="10">
        <v>58.0</v>
      </c>
      <c r="E115" s="54" t="s">
        <v>18</v>
      </c>
      <c r="F115" s="54" t="s">
        <v>13</v>
      </c>
      <c r="G115" s="55" t="s">
        <v>448</v>
      </c>
      <c r="H115" s="56" t="s">
        <v>562</v>
      </c>
      <c r="I115" s="56" t="s">
        <v>513</v>
      </c>
      <c r="J115" s="9" t="str">
        <f t="shared" si="2"/>
        <v>Ellis</v>
      </c>
    </row>
    <row r="116">
      <c r="A116" s="14" t="s">
        <v>447</v>
      </c>
      <c r="B116" s="14" t="str">
        <f t="shared" si="1"/>
        <v>Madaline Ellis</v>
      </c>
      <c r="C116" s="54">
        <v>1856.0</v>
      </c>
      <c r="D116" s="10">
        <v>56.0</v>
      </c>
      <c r="E116" s="54" t="s">
        <v>22</v>
      </c>
      <c r="F116" s="54" t="s">
        <v>19</v>
      </c>
      <c r="G116" s="55" t="s">
        <v>448</v>
      </c>
      <c r="H116" s="56" t="s">
        <v>562</v>
      </c>
      <c r="I116" s="56" t="s">
        <v>556</v>
      </c>
      <c r="J116" s="9" t="str">
        <f t="shared" si="2"/>
        <v>Ellis</v>
      </c>
    </row>
    <row r="117">
      <c r="A117" s="14" t="s">
        <v>447</v>
      </c>
      <c r="B117" s="14" t="str">
        <f t="shared" si="1"/>
        <v>Sophia Ellis</v>
      </c>
      <c r="C117" s="54">
        <v>1905.0</v>
      </c>
      <c r="D117" s="10">
        <v>7.0</v>
      </c>
      <c r="E117" s="54" t="s">
        <v>18</v>
      </c>
      <c r="F117" s="54" t="s">
        <v>13</v>
      </c>
      <c r="G117" s="55" t="s">
        <v>448</v>
      </c>
      <c r="H117" s="56" t="s">
        <v>562</v>
      </c>
      <c r="I117" s="56" t="s">
        <v>563</v>
      </c>
      <c r="J117" s="9" t="str">
        <f t="shared" si="2"/>
        <v>Ellis</v>
      </c>
    </row>
    <row r="118">
      <c r="A118" s="14" t="s">
        <v>447</v>
      </c>
      <c r="B118" s="14" t="str">
        <f t="shared" si="1"/>
        <v>Alfred Evans</v>
      </c>
      <c r="C118" s="54">
        <v>1870.0</v>
      </c>
      <c r="D118" s="10">
        <v>42.0</v>
      </c>
      <c r="E118" s="54" t="s">
        <v>33</v>
      </c>
      <c r="F118" s="54" t="s">
        <v>19</v>
      </c>
      <c r="G118" s="55" t="s">
        <v>448</v>
      </c>
      <c r="H118" s="56" t="s">
        <v>564</v>
      </c>
      <c r="I118" s="56" t="s">
        <v>472</v>
      </c>
      <c r="J118" s="9" t="str">
        <f t="shared" si="2"/>
        <v>Evans</v>
      </c>
    </row>
    <row r="119">
      <c r="A119" s="14" t="s">
        <v>447</v>
      </c>
      <c r="B119" s="14" t="str">
        <f t="shared" si="1"/>
        <v>Dexter Evans</v>
      </c>
      <c r="C119" s="54">
        <v>1859.0</v>
      </c>
      <c r="D119" s="10">
        <v>53.0</v>
      </c>
      <c r="E119" s="54" t="s">
        <v>33</v>
      </c>
      <c r="F119" s="54" t="s">
        <v>19</v>
      </c>
      <c r="G119" s="55" t="s">
        <v>448</v>
      </c>
      <c r="H119" s="56" t="s">
        <v>564</v>
      </c>
      <c r="I119" s="56" t="s">
        <v>520</v>
      </c>
      <c r="J119" s="9" t="str">
        <f t="shared" si="2"/>
        <v>Evans</v>
      </c>
    </row>
    <row r="120">
      <c r="A120" s="14" t="s">
        <v>447</v>
      </c>
      <c r="B120" s="14" t="str">
        <f t="shared" si="1"/>
        <v>Alina Farrell</v>
      </c>
      <c r="C120" s="54">
        <v>1851.0</v>
      </c>
      <c r="D120" s="10">
        <v>61.0</v>
      </c>
      <c r="E120" s="54" t="s">
        <v>22</v>
      </c>
      <c r="F120" s="54" t="s">
        <v>19</v>
      </c>
      <c r="G120" s="55" t="s">
        <v>448</v>
      </c>
      <c r="H120" s="56" t="s">
        <v>565</v>
      </c>
      <c r="I120" s="56" t="s">
        <v>566</v>
      </c>
      <c r="J120" s="9" t="str">
        <f t="shared" si="2"/>
        <v>Farrell</v>
      </c>
    </row>
    <row r="121">
      <c r="A121" s="14" t="s">
        <v>447</v>
      </c>
      <c r="B121" s="14" t="str">
        <f t="shared" si="1"/>
        <v>Michael Farrell</v>
      </c>
      <c r="C121" s="54">
        <v>1844.0</v>
      </c>
      <c r="D121" s="10">
        <v>68.0</v>
      </c>
      <c r="E121" s="54" t="s">
        <v>18</v>
      </c>
      <c r="F121" s="54" t="s">
        <v>19</v>
      </c>
      <c r="G121" s="55" t="s">
        <v>448</v>
      </c>
      <c r="H121" s="56" t="s">
        <v>565</v>
      </c>
      <c r="I121" s="56" t="s">
        <v>567</v>
      </c>
      <c r="J121" s="9" t="str">
        <f t="shared" si="2"/>
        <v>Farrell</v>
      </c>
    </row>
    <row r="122">
      <c r="A122" s="14" t="s">
        <v>447</v>
      </c>
      <c r="B122" s="14" t="str">
        <f t="shared" si="1"/>
        <v>Daniel Ferguson</v>
      </c>
      <c r="C122" s="54">
        <v>1869.0</v>
      </c>
      <c r="D122" s="10">
        <v>43.0</v>
      </c>
      <c r="E122" s="54" t="s">
        <v>12</v>
      </c>
      <c r="F122" s="54" t="s">
        <v>13</v>
      </c>
      <c r="G122" s="55" t="s">
        <v>448</v>
      </c>
      <c r="H122" s="56" t="s">
        <v>568</v>
      </c>
      <c r="I122" s="56" t="s">
        <v>569</v>
      </c>
      <c r="J122" s="9" t="str">
        <f t="shared" si="2"/>
        <v>Ferguson</v>
      </c>
    </row>
    <row r="123">
      <c r="A123" s="14" t="s">
        <v>447</v>
      </c>
      <c r="B123" s="14" t="str">
        <f t="shared" si="1"/>
        <v>Fenton Ferguson</v>
      </c>
      <c r="C123" s="54">
        <v>1859.0</v>
      </c>
      <c r="D123" s="10">
        <v>53.0</v>
      </c>
      <c r="E123" s="54" t="s">
        <v>22</v>
      </c>
      <c r="F123" s="54" t="s">
        <v>19</v>
      </c>
      <c r="G123" s="55" t="s">
        <v>448</v>
      </c>
      <c r="H123" s="56" t="s">
        <v>568</v>
      </c>
      <c r="I123" s="56" t="s">
        <v>477</v>
      </c>
      <c r="J123" s="9" t="str">
        <f t="shared" si="2"/>
        <v>Ferguson</v>
      </c>
    </row>
    <row r="124">
      <c r="A124" s="14" t="s">
        <v>447</v>
      </c>
      <c r="B124" s="14" t="str">
        <f t="shared" si="1"/>
        <v>James Ferguson</v>
      </c>
      <c r="C124" s="54">
        <v>1869.0</v>
      </c>
      <c r="D124" s="10">
        <v>43.0</v>
      </c>
      <c r="E124" s="54" t="s">
        <v>22</v>
      </c>
      <c r="F124" s="54" t="s">
        <v>19</v>
      </c>
      <c r="G124" s="55" t="s">
        <v>448</v>
      </c>
      <c r="H124" s="56" t="s">
        <v>568</v>
      </c>
      <c r="I124" s="56" t="s">
        <v>492</v>
      </c>
      <c r="J124" s="9" t="str">
        <f t="shared" si="2"/>
        <v>Ferguson</v>
      </c>
    </row>
    <row r="125">
      <c r="A125" s="14" t="s">
        <v>447</v>
      </c>
      <c r="B125" s="14" t="str">
        <f t="shared" si="1"/>
        <v>Ryan Ferguson</v>
      </c>
      <c r="C125" s="54">
        <v>1876.0</v>
      </c>
      <c r="D125" s="10">
        <v>36.0</v>
      </c>
      <c r="E125" s="54" t="s">
        <v>33</v>
      </c>
      <c r="F125" s="54" t="s">
        <v>19</v>
      </c>
      <c r="G125" s="55" t="s">
        <v>448</v>
      </c>
      <c r="H125" s="56" t="s">
        <v>568</v>
      </c>
      <c r="I125" s="56" t="s">
        <v>451</v>
      </c>
      <c r="J125" s="9" t="str">
        <f t="shared" si="2"/>
        <v>Ferguson</v>
      </c>
    </row>
    <row r="126">
      <c r="A126" s="14" t="s">
        <v>447</v>
      </c>
      <c r="B126" s="14" t="str">
        <f t="shared" si="1"/>
        <v>Aida Foster</v>
      </c>
      <c r="C126" s="54">
        <v>1862.0</v>
      </c>
      <c r="D126" s="10">
        <v>50.0</v>
      </c>
      <c r="E126" s="54" t="s">
        <v>22</v>
      </c>
      <c r="F126" s="54" t="s">
        <v>19</v>
      </c>
      <c r="G126" s="55" t="s">
        <v>448</v>
      </c>
      <c r="H126" s="56" t="s">
        <v>570</v>
      </c>
      <c r="I126" s="56" t="s">
        <v>571</v>
      </c>
      <c r="J126" s="9" t="str">
        <f t="shared" si="2"/>
        <v>Foster</v>
      </c>
    </row>
    <row r="127">
      <c r="A127" s="14" t="s">
        <v>447</v>
      </c>
      <c r="B127" s="14" t="str">
        <f t="shared" si="1"/>
        <v>Alissa Foster</v>
      </c>
      <c r="C127" s="54">
        <v>1910.0</v>
      </c>
      <c r="D127" s="10">
        <v>2.0</v>
      </c>
      <c r="E127" s="54" t="s">
        <v>12</v>
      </c>
      <c r="F127" s="54" t="s">
        <v>13</v>
      </c>
      <c r="G127" s="55" t="s">
        <v>448</v>
      </c>
      <c r="H127" s="56" t="s">
        <v>570</v>
      </c>
      <c r="I127" s="56" t="s">
        <v>572</v>
      </c>
      <c r="J127" s="9" t="str">
        <f t="shared" si="2"/>
        <v>Foster</v>
      </c>
    </row>
    <row r="128">
      <c r="A128" s="14" t="s">
        <v>447</v>
      </c>
      <c r="B128" s="14" t="str">
        <f t="shared" si="1"/>
        <v>Aston Foster</v>
      </c>
      <c r="C128" s="54">
        <v>1858.0</v>
      </c>
      <c r="D128" s="10">
        <v>54.0</v>
      </c>
      <c r="E128" s="54" t="s">
        <v>22</v>
      </c>
      <c r="F128" s="54" t="s">
        <v>19</v>
      </c>
      <c r="G128" s="55" t="s">
        <v>448</v>
      </c>
      <c r="H128" s="56" t="s">
        <v>570</v>
      </c>
      <c r="I128" s="56" t="s">
        <v>573</v>
      </c>
      <c r="J128" s="9" t="str">
        <f t="shared" si="2"/>
        <v>Foster</v>
      </c>
    </row>
    <row r="129">
      <c r="A129" s="14" t="s">
        <v>447</v>
      </c>
      <c r="B129" s="14" t="str">
        <f t="shared" si="1"/>
        <v>Joyce Foster</v>
      </c>
      <c r="C129" s="54">
        <v>1876.0</v>
      </c>
      <c r="D129" s="10">
        <v>36.0</v>
      </c>
      <c r="E129" s="54" t="s">
        <v>33</v>
      </c>
      <c r="F129" s="54" t="s">
        <v>19</v>
      </c>
      <c r="G129" s="55" t="s">
        <v>448</v>
      </c>
      <c r="H129" s="56" t="s">
        <v>570</v>
      </c>
      <c r="I129" s="56" t="s">
        <v>488</v>
      </c>
      <c r="J129" s="9" t="str">
        <f t="shared" si="2"/>
        <v>Foster</v>
      </c>
    </row>
    <row r="130">
      <c r="A130" s="14" t="s">
        <v>447</v>
      </c>
      <c r="B130" s="14" t="str">
        <f t="shared" si="1"/>
        <v>William Foster</v>
      </c>
      <c r="C130" s="54">
        <v>1841.0</v>
      </c>
      <c r="D130" s="10">
        <v>71.0</v>
      </c>
      <c r="E130" s="54" t="s">
        <v>22</v>
      </c>
      <c r="F130" s="54" t="s">
        <v>13</v>
      </c>
      <c r="G130" s="55" t="s">
        <v>448</v>
      </c>
      <c r="H130" s="56" t="s">
        <v>570</v>
      </c>
      <c r="I130" s="56" t="s">
        <v>574</v>
      </c>
      <c r="J130" s="9" t="str">
        <f t="shared" si="2"/>
        <v>Foster</v>
      </c>
    </row>
    <row r="131">
      <c r="A131" s="14" t="s">
        <v>447</v>
      </c>
      <c r="B131" s="14" t="str">
        <f t="shared" si="1"/>
        <v>Amanda Fowler</v>
      </c>
      <c r="C131" s="54">
        <v>1908.0</v>
      </c>
      <c r="D131" s="10">
        <v>4.0</v>
      </c>
      <c r="E131" s="54" t="s">
        <v>18</v>
      </c>
      <c r="F131" s="54" t="s">
        <v>13</v>
      </c>
      <c r="G131" s="55" t="s">
        <v>448</v>
      </c>
      <c r="H131" s="56" t="s">
        <v>575</v>
      </c>
      <c r="I131" s="56" t="s">
        <v>576</v>
      </c>
      <c r="J131" s="9" t="str">
        <f t="shared" si="2"/>
        <v>Fowler</v>
      </c>
    </row>
    <row r="132">
      <c r="A132" s="14" t="s">
        <v>447</v>
      </c>
      <c r="B132" s="14" t="str">
        <f t="shared" si="1"/>
        <v>Daisy Fowler</v>
      </c>
      <c r="C132" s="54">
        <v>1847.0</v>
      </c>
      <c r="D132" s="10">
        <v>65.0</v>
      </c>
      <c r="E132" s="54" t="s">
        <v>12</v>
      </c>
      <c r="F132" s="54" t="s">
        <v>19</v>
      </c>
      <c r="G132" s="55" t="s">
        <v>448</v>
      </c>
      <c r="H132" s="56" t="s">
        <v>575</v>
      </c>
      <c r="I132" s="56" t="s">
        <v>577</v>
      </c>
      <c r="J132" s="9" t="str">
        <f t="shared" si="2"/>
        <v>Fowler</v>
      </c>
    </row>
    <row r="133">
      <c r="A133" s="14" t="s">
        <v>447</v>
      </c>
      <c r="B133" s="14" t="str">
        <f t="shared" si="1"/>
        <v>Frederick Fowler</v>
      </c>
      <c r="C133" s="54">
        <v>1892.0</v>
      </c>
      <c r="D133" s="10">
        <v>20.0</v>
      </c>
      <c r="E133" s="54" t="s">
        <v>22</v>
      </c>
      <c r="F133" s="54" t="s">
        <v>19</v>
      </c>
      <c r="G133" s="55" t="s">
        <v>448</v>
      </c>
      <c r="H133" s="56" t="s">
        <v>575</v>
      </c>
      <c r="I133" s="56" t="s">
        <v>578</v>
      </c>
      <c r="J133" s="9" t="str">
        <f t="shared" si="2"/>
        <v>Fowler</v>
      </c>
    </row>
    <row r="134">
      <c r="A134" s="14" t="s">
        <v>447</v>
      </c>
      <c r="B134" s="14" t="str">
        <f t="shared" si="1"/>
        <v>Kimberly Fowler</v>
      </c>
      <c r="C134" s="54">
        <v>1872.0</v>
      </c>
      <c r="D134" s="10">
        <v>40.0</v>
      </c>
      <c r="E134" s="54" t="s">
        <v>22</v>
      </c>
      <c r="F134" s="54" t="s">
        <v>13</v>
      </c>
      <c r="G134" s="55" t="s">
        <v>448</v>
      </c>
      <c r="H134" s="56" t="s">
        <v>575</v>
      </c>
      <c r="I134" s="56" t="s">
        <v>478</v>
      </c>
      <c r="J134" s="9" t="str">
        <f t="shared" si="2"/>
        <v>Fowler</v>
      </c>
    </row>
    <row r="135">
      <c r="A135" s="14" t="s">
        <v>447</v>
      </c>
      <c r="B135" s="14" t="str">
        <f t="shared" si="1"/>
        <v>James Gibson</v>
      </c>
      <c r="C135" s="54">
        <v>1890.0</v>
      </c>
      <c r="D135" s="10">
        <v>22.0</v>
      </c>
      <c r="E135" s="54" t="s">
        <v>22</v>
      </c>
      <c r="F135" s="54" t="s">
        <v>19</v>
      </c>
      <c r="G135" s="55" t="s">
        <v>448</v>
      </c>
      <c r="H135" s="56" t="s">
        <v>579</v>
      </c>
      <c r="I135" s="56" t="s">
        <v>492</v>
      </c>
      <c r="J135" s="9" t="str">
        <f t="shared" si="2"/>
        <v>Gibson</v>
      </c>
    </row>
    <row r="136">
      <c r="A136" s="14" t="s">
        <v>447</v>
      </c>
      <c r="B136" s="14" t="str">
        <f t="shared" si="1"/>
        <v>Sofia Gibson</v>
      </c>
      <c r="C136" s="54">
        <v>1853.0</v>
      </c>
      <c r="D136" s="10">
        <v>59.0</v>
      </c>
      <c r="E136" s="54" t="s">
        <v>22</v>
      </c>
      <c r="F136" s="54" t="s">
        <v>19</v>
      </c>
      <c r="G136" s="55" t="s">
        <v>448</v>
      </c>
      <c r="H136" s="56" t="s">
        <v>579</v>
      </c>
      <c r="I136" s="56" t="s">
        <v>580</v>
      </c>
      <c r="J136" s="9" t="str">
        <f t="shared" si="2"/>
        <v>Gibson</v>
      </c>
    </row>
    <row r="137">
      <c r="A137" s="14" t="s">
        <v>447</v>
      </c>
      <c r="B137" s="14" t="str">
        <f t="shared" si="1"/>
        <v>Catherine Grant</v>
      </c>
      <c r="C137" s="54">
        <v>1866.0</v>
      </c>
      <c r="D137" s="10">
        <v>46.0</v>
      </c>
      <c r="E137" s="54" t="s">
        <v>22</v>
      </c>
      <c r="F137" s="54" t="s">
        <v>19</v>
      </c>
      <c r="G137" s="55" t="s">
        <v>448</v>
      </c>
      <c r="H137" s="56" t="s">
        <v>581</v>
      </c>
      <c r="I137" s="56" t="s">
        <v>473</v>
      </c>
      <c r="J137" s="9" t="str">
        <f t="shared" si="2"/>
        <v>Grant</v>
      </c>
    </row>
    <row r="138">
      <c r="A138" s="14" t="s">
        <v>447</v>
      </c>
      <c r="B138" s="14" t="str">
        <f t="shared" si="1"/>
        <v>Freddie Grant</v>
      </c>
      <c r="C138" s="54">
        <v>1873.0</v>
      </c>
      <c r="D138" s="10">
        <v>39.0</v>
      </c>
      <c r="E138" s="54" t="s">
        <v>22</v>
      </c>
      <c r="F138" s="54" t="s">
        <v>19</v>
      </c>
      <c r="G138" s="55" t="s">
        <v>448</v>
      </c>
      <c r="H138" s="56" t="s">
        <v>581</v>
      </c>
      <c r="I138" s="56" t="s">
        <v>582</v>
      </c>
      <c r="J138" s="9" t="str">
        <f t="shared" si="2"/>
        <v>Grant</v>
      </c>
    </row>
    <row r="139">
      <c r="A139" s="14" t="s">
        <v>447</v>
      </c>
      <c r="B139" s="14" t="str">
        <f t="shared" si="1"/>
        <v>Lucy Grant</v>
      </c>
      <c r="C139" s="54">
        <v>1875.0</v>
      </c>
      <c r="D139" s="10">
        <v>37.0</v>
      </c>
      <c r="E139" s="54" t="s">
        <v>33</v>
      </c>
      <c r="F139" s="54" t="s">
        <v>13</v>
      </c>
      <c r="G139" s="55" t="s">
        <v>448</v>
      </c>
      <c r="H139" s="56" t="s">
        <v>581</v>
      </c>
      <c r="I139" s="56" t="s">
        <v>583</v>
      </c>
      <c r="J139" s="9" t="str">
        <f t="shared" si="2"/>
        <v>Grant</v>
      </c>
    </row>
    <row r="140">
      <c r="A140" s="14" t="s">
        <v>447</v>
      </c>
      <c r="B140" s="14" t="str">
        <f t="shared" si="1"/>
        <v>Marcus Grant</v>
      </c>
      <c r="C140" s="54">
        <v>1847.0</v>
      </c>
      <c r="D140" s="10">
        <v>65.0</v>
      </c>
      <c r="E140" s="54" t="s">
        <v>33</v>
      </c>
      <c r="F140" s="54" t="s">
        <v>19</v>
      </c>
      <c r="G140" s="55" t="s">
        <v>448</v>
      </c>
      <c r="H140" s="56" t="s">
        <v>581</v>
      </c>
      <c r="I140" s="56" t="s">
        <v>561</v>
      </c>
      <c r="J140" s="9" t="str">
        <f t="shared" si="2"/>
        <v>Grant</v>
      </c>
    </row>
    <row r="141">
      <c r="A141" s="14" t="s">
        <v>447</v>
      </c>
      <c r="B141" s="14" t="str">
        <f t="shared" si="1"/>
        <v>Alissa Gray</v>
      </c>
      <c r="C141" s="54">
        <v>1872.0</v>
      </c>
      <c r="D141" s="10">
        <v>40.0</v>
      </c>
      <c r="E141" s="54" t="s">
        <v>22</v>
      </c>
      <c r="F141" s="54" t="s">
        <v>19</v>
      </c>
      <c r="G141" s="55" t="s">
        <v>448</v>
      </c>
      <c r="H141" s="56" t="s">
        <v>584</v>
      </c>
      <c r="I141" s="56" t="s">
        <v>572</v>
      </c>
      <c r="J141" s="9" t="str">
        <f t="shared" si="2"/>
        <v>Gray</v>
      </c>
    </row>
    <row r="142">
      <c r="A142" s="14" t="s">
        <v>447</v>
      </c>
      <c r="B142" s="14" t="str">
        <f t="shared" si="1"/>
        <v>Chelsea Gray</v>
      </c>
      <c r="C142" s="54">
        <v>1887.0</v>
      </c>
      <c r="D142" s="10">
        <v>25.0</v>
      </c>
      <c r="E142" s="54" t="s">
        <v>22</v>
      </c>
      <c r="F142" s="54" t="s">
        <v>13</v>
      </c>
      <c r="G142" s="55" t="s">
        <v>448</v>
      </c>
      <c r="H142" s="56" t="s">
        <v>584</v>
      </c>
      <c r="I142" s="56" t="s">
        <v>585</v>
      </c>
      <c r="J142" s="9" t="str">
        <f t="shared" si="2"/>
        <v>Gray</v>
      </c>
    </row>
    <row r="143">
      <c r="A143" s="14" t="s">
        <v>447</v>
      </c>
      <c r="B143" s="14" t="str">
        <f t="shared" si="1"/>
        <v>Gianna Gray</v>
      </c>
      <c r="C143" s="54">
        <v>1859.0</v>
      </c>
      <c r="D143" s="10">
        <v>53.0</v>
      </c>
      <c r="E143" s="54" t="s">
        <v>18</v>
      </c>
      <c r="F143" s="54" t="s">
        <v>13</v>
      </c>
      <c r="G143" s="55" t="s">
        <v>448</v>
      </c>
      <c r="H143" s="56" t="s">
        <v>584</v>
      </c>
      <c r="I143" s="56" t="s">
        <v>457</v>
      </c>
      <c r="J143" s="9" t="str">
        <f t="shared" si="2"/>
        <v>Gray</v>
      </c>
    </row>
    <row r="144">
      <c r="A144" s="14" t="s">
        <v>447</v>
      </c>
      <c r="B144" s="14" t="str">
        <f t="shared" si="1"/>
        <v>Justin Gray</v>
      </c>
      <c r="C144" s="54">
        <v>1887.0</v>
      </c>
      <c r="D144" s="10">
        <v>25.0</v>
      </c>
      <c r="E144" s="54" t="s">
        <v>22</v>
      </c>
      <c r="F144" s="54" t="s">
        <v>19</v>
      </c>
      <c r="G144" s="55" t="s">
        <v>448</v>
      </c>
      <c r="H144" s="56" t="s">
        <v>584</v>
      </c>
      <c r="I144" s="56" t="s">
        <v>516</v>
      </c>
      <c r="J144" s="9" t="str">
        <f t="shared" si="2"/>
        <v>Gray</v>
      </c>
    </row>
    <row r="145">
      <c r="A145" s="14" t="s">
        <v>447</v>
      </c>
      <c r="B145" s="14" t="str">
        <f t="shared" si="1"/>
        <v>Kelsey Gray</v>
      </c>
      <c r="C145" s="54">
        <v>1903.0</v>
      </c>
      <c r="D145" s="10">
        <v>9.0</v>
      </c>
      <c r="E145" s="54" t="s">
        <v>33</v>
      </c>
      <c r="F145" s="54" t="s">
        <v>13</v>
      </c>
      <c r="G145" s="55" t="s">
        <v>448</v>
      </c>
      <c r="H145" s="56" t="s">
        <v>584</v>
      </c>
      <c r="I145" s="56" t="s">
        <v>586</v>
      </c>
      <c r="J145" s="9" t="str">
        <f t="shared" si="2"/>
        <v>Gray</v>
      </c>
    </row>
    <row r="146">
      <c r="A146" s="14" t="s">
        <v>447</v>
      </c>
      <c r="B146" s="14" t="str">
        <f t="shared" si="1"/>
        <v>Mary Gray</v>
      </c>
      <c r="C146" s="54">
        <v>1900.0</v>
      </c>
      <c r="D146" s="10">
        <v>12.0</v>
      </c>
      <c r="E146" s="54" t="s">
        <v>33</v>
      </c>
      <c r="F146" s="54" t="s">
        <v>19</v>
      </c>
      <c r="G146" s="55" t="s">
        <v>448</v>
      </c>
      <c r="H146" s="56" t="s">
        <v>584</v>
      </c>
      <c r="I146" s="56" t="s">
        <v>587</v>
      </c>
      <c r="J146" s="9" t="str">
        <f t="shared" si="2"/>
        <v>Gray</v>
      </c>
    </row>
    <row r="147">
      <c r="A147" s="14" t="s">
        <v>447</v>
      </c>
      <c r="B147" s="14" t="str">
        <f t="shared" si="1"/>
        <v>Victor Gray</v>
      </c>
      <c r="C147" s="54">
        <v>1864.0</v>
      </c>
      <c r="D147" s="10">
        <v>48.0</v>
      </c>
      <c r="E147" s="54" t="s">
        <v>22</v>
      </c>
      <c r="F147" s="54" t="s">
        <v>19</v>
      </c>
      <c r="G147" s="55" t="s">
        <v>448</v>
      </c>
      <c r="H147" s="56" t="s">
        <v>584</v>
      </c>
      <c r="I147" s="56" t="s">
        <v>588</v>
      </c>
      <c r="J147" s="9" t="str">
        <f t="shared" si="2"/>
        <v>Gray</v>
      </c>
    </row>
    <row r="148">
      <c r="A148" s="14" t="s">
        <v>447</v>
      </c>
      <c r="B148" s="14" t="str">
        <f t="shared" si="1"/>
        <v>Adrian Hall</v>
      </c>
      <c r="C148" s="54">
        <v>1893.0</v>
      </c>
      <c r="D148" s="10">
        <v>19.0</v>
      </c>
      <c r="E148" s="54" t="s">
        <v>33</v>
      </c>
      <c r="F148" s="54" t="s">
        <v>13</v>
      </c>
      <c r="G148" s="55" t="s">
        <v>448</v>
      </c>
      <c r="H148" s="56" t="s">
        <v>589</v>
      </c>
      <c r="I148" s="56" t="s">
        <v>544</v>
      </c>
      <c r="J148" s="9" t="str">
        <f t="shared" si="2"/>
        <v>Hall</v>
      </c>
    </row>
    <row r="149">
      <c r="A149" s="14" t="s">
        <v>447</v>
      </c>
      <c r="B149" s="14" t="str">
        <f t="shared" si="1"/>
        <v>David Hall</v>
      </c>
      <c r="C149" s="54">
        <v>1885.0</v>
      </c>
      <c r="D149" s="10">
        <v>27.0</v>
      </c>
      <c r="E149" s="54" t="s">
        <v>22</v>
      </c>
      <c r="F149" s="54" t="s">
        <v>19</v>
      </c>
      <c r="G149" s="55" t="s">
        <v>448</v>
      </c>
      <c r="H149" s="56" t="s">
        <v>589</v>
      </c>
      <c r="I149" s="56" t="s">
        <v>590</v>
      </c>
      <c r="J149" s="9" t="str">
        <f t="shared" si="2"/>
        <v>Hall</v>
      </c>
    </row>
    <row r="150">
      <c r="A150" s="14" t="s">
        <v>447</v>
      </c>
      <c r="B150" s="14" t="str">
        <f t="shared" si="1"/>
        <v>Maya Hall</v>
      </c>
      <c r="C150" s="54">
        <v>1894.0</v>
      </c>
      <c r="D150" s="10">
        <v>18.0</v>
      </c>
      <c r="E150" s="54" t="s">
        <v>22</v>
      </c>
      <c r="F150" s="54" t="s">
        <v>19</v>
      </c>
      <c r="G150" s="55" t="s">
        <v>448</v>
      </c>
      <c r="H150" s="56" t="s">
        <v>589</v>
      </c>
      <c r="I150" s="56" t="s">
        <v>591</v>
      </c>
      <c r="J150" s="9" t="str">
        <f t="shared" si="2"/>
        <v>Hall</v>
      </c>
    </row>
    <row r="151">
      <c r="A151" s="14" t="s">
        <v>447</v>
      </c>
      <c r="B151" s="14" t="str">
        <f t="shared" si="1"/>
        <v>Vincent Hall</v>
      </c>
      <c r="C151" s="54">
        <v>1863.0</v>
      </c>
      <c r="D151" s="10">
        <v>49.0</v>
      </c>
      <c r="E151" s="54" t="s">
        <v>12</v>
      </c>
      <c r="F151" s="54" t="s">
        <v>13</v>
      </c>
      <c r="G151" s="55" t="s">
        <v>448</v>
      </c>
      <c r="H151" s="56" t="s">
        <v>589</v>
      </c>
      <c r="I151" s="56" t="s">
        <v>592</v>
      </c>
      <c r="J151" s="9" t="str">
        <f t="shared" si="2"/>
        <v>Hall</v>
      </c>
    </row>
    <row r="152">
      <c r="A152" s="14" t="s">
        <v>447</v>
      </c>
      <c r="B152" s="14" t="str">
        <f t="shared" si="1"/>
        <v>Abraham Hamilton</v>
      </c>
      <c r="C152" s="54">
        <v>1852.0</v>
      </c>
      <c r="D152" s="10">
        <v>60.0</v>
      </c>
      <c r="E152" s="54" t="s">
        <v>22</v>
      </c>
      <c r="F152" s="54" t="s">
        <v>19</v>
      </c>
      <c r="G152" s="55" t="s">
        <v>448</v>
      </c>
      <c r="H152" s="56" t="s">
        <v>593</v>
      </c>
      <c r="I152" s="56" t="s">
        <v>594</v>
      </c>
      <c r="J152" s="9" t="str">
        <f t="shared" si="2"/>
        <v>Hamilton</v>
      </c>
    </row>
    <row r="153">
      <c r="A153" s="14" t="s">
        <v>447</v>
      </c>
      <c r="B153" s="14" t="str">
        <f t="shared" si="1"/>
        <v>Albert Hamilton</v>
      </c>
      <c r="C153" s="54">
        <v>1882.0</v>
      </c>
      <c r="D153" s="10">
        <v>30.0</v>
      </c>
      <c r="E153" s="54" t="s">
        <v>33</v>
      </c>
      <c r="F153" s="54" t="s">
        <v>19</v>
      </c>
      <c r="G153" s="55" t="s">
        <v>448</v>
      </c>
      <c r="H153" s="56" t="s">
        <v>593</v>
      </c>
      <c r="I153" s="56" t="s">
        <v>595</v>
      </c>
      <c r="J153" s="9" t="str">
        <f t="shared" si="2"/>
        <v>Hamilton</v>
      </c>
    </row>
    <row r="154">
      <c r="A154" s="14" t="s">
        <v>447</v>
      </c>
      <c r="B154" s="14" t="str">
        <f t="shared" si="1"/>
        <v>Amanda Hamilton</v>
      </c>
      <c r="C154" s="54">
        <v>1879.0</v>
      </c>
      <c r="D154" s="10">
        <v>33.0</v>
      </c>
      <c r="E154" s="54" t="s">
        <v>22</v>
      </c>
      <c r="F154" s="54" t="s">
        <v>19</v>
      </c>
      <c r="G154" s="55" t="s">
        <v>448</v>
      </c>
      <c r="H154" s="56" t="s">
        <v>593</v>
      </c>
      <c r="I154" s="56" t="s">
        <v>576</v>
      </c>
      <c r="J154" s="9" t="str">
        <f t="shared" si="2"/>
        <v>Hamilton</v>
      </c>
    </row>
    <row r="155">
      <c r="A155" s="14" t="s">
        <v>447</v>
      </c>
      <c r="B155" s="14" t="str">
        <f t="shared" si="1"/>
        <v>Frederick Hamilton</v>
      </c>
      <c r="C155" s="54">
        <v>1842.0</v>
      </c>
      <c r="D155" s="10">
        <v>70.0</v>
      </c>
      <c r="E155" s="54" t="s">
        <v>22</v>
      </c>
      <c r="F155" s="54" t="s">
        <v>19</v>
      </c>
      <c r="G155" s="55" t="s">
        <v>448</v>
      </c>
      <c r="H155" s="56" t="s">
        <v>593</v>
      </c>
      <c r="I155" s="56" t="s">
        <v>578</v>
      </c>
      <c r="J155" s="9" t="str">
        <f t="shared" si="2"/>
        <v>Hamilton</v>
      </c>
    </row>
    <row r="156">
      <c r="A156" s="14" t="s">
        <v>447</v>
      </c>
      <c r="B156" s="14" t="str">
        <f t="shared" si="1"/>
        <v>Abigail Harper</v>
      </c>
      <c r="C156" s="54">
        <v>1896.0</v>
      </c>
      <c r="D156" s="10">
        <v>16.0</v>
      </c>
      <c r="E156" s="54" t="s">
        <v>22</v>
      </c>
      <c r="F156" s="54" t="s">
        <v>19</v>
      </c>
      <c r="G156" s="55" t="s">
        <v>448</v>
      </c>
      <c r="H156" s="56" t="s">
        <v>596</v>
      </c>
      <c r="I156" s="56" t="s">
        <v>597</v>
      </c>
      <c r="J156" s="9" t="str">
        <f t="shared" si="2"/>
        <v>Harper</v>
      </c>
    </row>
    <row r="157">
      <c r="A157" s="14" t="s">
        <v>447</v>
      </c>
      <c r="B157" s="14" t="str">
        <f t="shared" si="1"/>
        <v>Ada Harper</v>
      </c>
      <c r="C157" s="54">
        <v>1883.0</v>
      </c>
      <c r="D157" s="10">
        <v>29.0</v>
      </c>
      <c r="E157" s="54" t="s">
        <v>22</v>
      </c>
      <c r="F157" s="54" t="s">
        <v>19</v>
      </c>
      <c r="G157" s="55" t="s">
        <v>448</v>
      </c>
      <c r="H157" s="56" t="s">
        <v>596</v>
      </c>
      <c r="I157" s="56" t="s">
        <v>598</v>
      </c>
      <c r="J157" s="9" t="str">
        <f t="shared" si="2"/>
        <v>Harper</v>
      </c>
    </row>
    <row r="158">
      <c r="A158" s="14" t="s">
        <v>447</v>
      </c>
      <c r="B158" s="14" t="str">
        <f t="shared" si="1"/>
        <v>Leonardo Harper</v>
      </c>
      <c r="C158" s="54">
        <v>1893.0</v>
      </c>
      <c r="D158" s="10">
        <v>19.0</v>
      </c>
      <c r="E158" s="54" t="s">
        <v>33</v>
      </c>
      <c r="F158" s="54" t="s">
        <v>13</v>
      </c>
      <c r="G158" s="55" t="s">
        <v>448</v>
      </c>
      <c r="H158" s="56" t="s">
        <v>596</v>
      </c>
      <c r="I158" s="56" t="s">
        <v>599</v>
      </c>
      <c r="J158" s="9" t="str">
        <f t="shared" si="2"/>
        <v>Harper</v>
      </c>
    </row>
    <row r="159">
      <c r="A159" s="14" t="s">
        <v>447</v>
      </c>
      <c r="B159" s="14" t="str">
        <f t="shared" si="1"/>
        <v>Maria Harper</v>
      </c>
      <c r="C159" s="54">
        <v>1873.0</v>
      </c>
      <c r="D159" s="10">
        <v>39.0</v>
      </c>
      <c r="E159" s="54" t="s">
        <v>33</v>
      </c>
      <c r="F159" s="54" t="s">
        <v>19</v>
      </c>
      <c r="G159" s="55" t="s">
        <v>448</v>
      </c>
      <c r="H159" s="56" t="s">
        <v>596</v>
      </c>
      <c r="I159" s="56" t="s">
        <v>552</v>
      </c>
      <c r="J159" s="9" t="str">
        <f t="shared" si="2"/>
        <v>Harper</v>
      </c>
    </row>
    <row r="160">
      <c r="A160" s="14" t="s">
        <v>447</v>
      </c>
      <c r="B160" s="14" t="str">
        <f t="shared" si="1"/>
        <v>Arianna Harris</v>
      </c>
      <c r="C160" s="54">
        <v>1849.0</v>
      </c>
      <c r="D160" s="10">
        <v>63.0</v>
      </c>
      <c r="E160" s="54" t="s">
        <v>33</v>
      </c>
      <c r="F160" s="54" t="s">
        <v>13</v>
      </c>
      <c r="G160" s="55" t="s">
        <v>448</v>
      </c>
      <c r="H160" s="56" t="s">
        <v>600</v>
      </c>
      <c r="I160" s="56" t="s">
        <v>601</v>
      </c>
      <c r="J160" s="9" t="str">
        <f t="shared" si="2"/>
        <v>Harris</v>
      </c>
    </row>
    <row r="161">
      <c r="A161" s="14" t="s">
        <v>447</v>
      </c>
      <c r="B161" s="14" t="str">
        <f t="shared" si="1"/>
        <v>Garry Harris</v>
      </c>
      <c r="C161" s="54">
        <v>1862.0</v>
      </c>
      <c r="D161" s="10">
        <v>50.0</v>
      </c>
      <c r="E161" s="54" t="s">
        <v>22</v>
      </c>
      <c r="F161" s="54" t="s">
        <v>19</v>
      </c>
      <c r="G161" s="55" t="s">
        <v>448</v>
      </c>
      <c r="H161" s="56" t="s">
        <v>600</v>
      </c>
      <c r="I161" s="56" t="s">
        <v>602</v>
      </c>
      <c r="J161" s="9" t="str">
        <f t="shared" si="2"/>
        <v>Harris</v>
      </c>
    </row>
    <row r="162">
      <c r="A162" s="14" t="s">
        <v>447</v>
      </c>
      <c r="B162" s="14" t="str">
        <f t="shared" si="1"/>
        <v>Michael Harris</v>
      </c>
      <c r="C162" s="54">
        <v>1881.0</v>
      </c>
      <c r="D162" s="10">
        <v>31.0</v>
      </c>
      <c r="E162" s="54" t="s">
        <v>22</v>
      </c>
      <c r="F162" s="54" t="s">
        <v>19</v>
      </c>
      <c r="G162" s="55" t="s">
        <v>448</v>
      </c>
      <c r="H162" s="56" t="s">
        <v>600</v>
      </c>
      <c r="I162" s="56" t="s">
        <v>567</v>
      </c>
      <c r="J162" s="9" t="str">
        <f t="shared" si="2"/>
        <v>Harris</v>
      </c>
    </row>
    <row r="163">
      <c r="A163" s="14" t="s">
        <v>447</v>
      </c>
      <c r="B163" s="14" t="str">
        <f t="shared" si="1"/>
        <v>Robert Harris</v>
      </c>
      <c r="C163" s="54">
        <v>1891.0</v>
      </c>
      <c r="D163" s="10">
        <v>21.0</v>
      </c>
      <c r="E163" s="54" t="s">
        <v>22</v>
      </c>
      <c r="F163" s="54" t="s">
        <v>19</v>
      </c>
      <c r="G163" s="55" t="s">
        <v>448</v>
      </c>
      <c r="H163" s="56" t="s">
        <v>600</v>
      </c>
      <c r="I163" s="56" t="s">
        <v>603</v>
      </c>
      <c r="J163" s="9" t="str">
        <f t="shared" si="2"/>
        <v>Harris</v>
      </c>
    </row>
    <row r="164">
      <c r="A164" s="14" t="s">
        <v>447</v>
      </c>
      <c r="B164" s="14" t="str">
        <f t="shared" si="1"/>
        <v>Adison Harrison</v>
      </c>
      <c r="C164" s="54">
        <v>1840.0</v>
      </c>
      <c r="D164" s="10">
        <v>72.0</v>
      </c>
      <c r="E164" s="54" t="s">
        <v>22</v>
      </c>
      <c r="F164" s="54" t="s">
        <v>19</v>
      </c>
      <c r="G164" s="55" t="s">
        <v>448</v>
      </c>
      <c r="H164" s="56" t="s">
        <v>604</v>
      </c>
      <c r="I164" s="56" t="s">
        <v>605</v>
      </c>
      <c r="J164" s="9" t="str">
        <f t="shared" si="2"/>
        <v>Harrison</v>
      </c>
    </row>
    <row r="165">
      <c r="A165" s="14" t="s">
        <v>447</v>
      </c>
      <c r="B165" s="14" t="str">
        <f t="shared" si="1"/>
        <v>Aston Harrison</v>
      </c>
      <c r="C165" s="54">
        <v>1842.0</v>
      </c>
      <c r="D165" s="10">
        <v>70.0</v>
      </c>
      <c r="E165" s="54" t="s">
        <v>12</v>
      </c>
      <c r="F165" s="54" t="s">
        <v>13</v>
      </c>
      <c r="G165" s="55" t="s">
        <v>448</v>
      </c>
      <c r="H165" s="56" t="s">
        <v>604</v>
      </c>
      <c r="I165" s="56" t="s">
        <v>573</v>
      </c>
      <c r="J165" s="9" t="str">
        <f t="shared" si="2"/>
        <v>Harrison</v>
      </c>
    </row>
    <row r="166">
      <c r="A166" s="14" t="s">
        <v>447</v>
      </c>
      <c r="B166" s="14" t="str">
        <f t="shared" si="1"/>
        <v>Elian Harrison</v>
      </c>
      <c r="C166" s="54">
        <v>1898.0</v>
      </c>
      <c r="D166" s="10">
        <v>14.0</v>
      </c>
      <c r="E166" s="54" t="s">
        <v>33</v>
      </c>
      <c r="F166" s="54" t="s">
        <v>19</v>
      </c>
      <c r="G166" s="55" t="s">
        <v>448</v>
      </c>
      <c r="H166" s="56" t="s">
        <v>604</v>
      </c>
      <c r="I166" s="56" t="s">
        <v>606</v>
      </c>
      <c r="J166" s="9" t="str">
        <f t="shared" si="2"/>
        <v>Harrison</v>
      </c>
    </row>
    <row r="167">
      <c r="A167" s="14" t="s">
        <v>447</v>
      </c>
      <c r="B167" s="14" t="str">
        <f t="shared" si="1"/>
        <v>Florrie Harrison</v>
      </c>
      <c r="C167" s="54">
        <v>1905.0</v>
      </c>
      <c r="D167" s="10">
        <v>7.0</v>
      </c>
      <c r="E167" s="54" t="s">
        <v>12</v>
      </c>
      <c r="F167" s="54" t="s">
        <v>19</v>
      </c>
      <c r="G167" s="55" t="s">
        <v>448</v>
      </c>
      <c r="H167" s="56" t="s">
        <v>604</v>
      </c>
      <c r="I167" s="56" t="s">
        <v>547</v>
      </c>
      <c r="J167" s="9" t="str">
        <f t="shared" si="2"/>
        <v>Harrison</v>
      </c>
    </row>
    <row r="168">
      <c r="A168" s="14" t="s">
        <v>447</v>
      </c>
      <c r="B168" s="14" t="str">
        <f t="shared" si="1"/>
        <v>Nicole Harrison</v>
      </c>
      <c r="C168" s="54">
        <v>1857.0</v>
      </c>
      <c r="D168" s="10">
        <v>55.0</v>
      </c>
      <c r="E168" s="54" t="s">
        <v>33</v>
      </c>
      <c r="F168" s="54" t="s">
        <v>19</v>
      </c>
      <c r="G168" s="55" t="s">
        <v>448</v>
      </c>
      <c r="H168" s="56" t="s">
        <v>604</v>
      </c>
      <c r="I168" s="56" t="s">
        <v>607</v>
      </c>
      <c r="J168" s="9" t="str">
        <f t="shared" si="2"/>
        <v>Harrison</v>
      </c>
    </row>
    <row r="169">
      <c r="A169" s="14" t="s">
        <v>447</v>
      </c>
      <c r="B169" s="14" t="str">
        <f t="shared" si="1"/>
        <v>Alisa Hawkins</v>
      </c>
      <c r="C169" s="54">
        <v>1851.0</v>
      </c>
      <c r="D169" s="10">
        <v>61.0</v>
      </c>
      <c r="E169" s="54" t="s">
        <v>12</v>
      </c>
      <c r="F169" s="54" t="s">
        <v>13</v>
      </c>
      <c r="G169" s="55" t="s">
        <v>448</v>
      </c>
      <c r="H169" s="56" t="s">
        <v>608</v>
      </c>
      <c r="I169" s="56" t="s">
        <v>545</v>
      </c>
      <c r="J169" s="9" t="str">
        <f t="shared" si="2"/>
        <v>Hawkins</v>
      </c>
    </row>
    <row r="170">
      <c r="A170" s="14" t="s">
        <v>447</v>
      </c>
      <c r="B170" s="14" t="str">
        <f t="shared" si="1"/>
        <v>Carl Hawkins</v>
      </c>
      <c r="C170" s="54">
        <v>1863.0</v>
      </c>
      <c r="D170" s="10">
        <v>49.0</v>
      </c>
      <c r="E170" s="54" t="s">
        <v>33</v>
      </c>
      <c r="F170" s="54" t="s">
        <v>19</v>
      </c>
      <c r="G170" s="55" t="s">
        <v>448</v>
      </c>
      <c r="H170" s="56" t="s">
        <v>608</v>
      </c>
      <c r="I170" s="56" t="s">
        <v>514</v>
      </c>
      <c r="J170" s="9" t="str">
        <f t="shared" si="2"/>
        <v>Hawkins</v>
      </c>
    </row>
    <row r="171">
      <c r="A171" s="14" t="s">
        <v>447</v>
      </c>
      <c r="B171" s="14" t="str">
        <f t="shared" si="1"/>
        <v>Dominik Hawkins</v>
      </c>
      <c r="C171" s="54">
        <v>1895.0</v>
      </c>
      <c r="D171" s="10">
        <v>17.0</v>
      </c>
      <c r="E171" s="54" t="s">
        <v>18</v>
      </c>
      <c r="F171" s="54" t="s">
        <v>19</v>
      </c>
      <c r="G171" s="55" t="s">
        <v>448</v>
      </c>
      <c r="H171" s="56" t="s">
        <v>608</v>
      </c>
      <c r="I171" s="56" t="s">
        <v>609</v>
      </c>
      <c r="J171" s="9" t="str">
        <f t="shared" si="2"/>
        <v>Hawkins</v>
      </c>
    </row>
    <row r="172">
      <c r="A172" s="14" t="s">
        <v>447</v>
      </c>
      <c r="B172" s="14" t="str">
        <f t="shared" si="1"/>
        <v>Tony Hawkins</v>
      </c>
      <c r="C172" s="54">
        <v>1857.0</v>
      </c>
      <c r="D172" s="10">
        <v>55.0</v>
      </c>
      <c r="E172" s="54" t="s">
        <v>33</v>
      </c>
      <c r="F172" s="54" t="s">
        <v>19</v>
      </c>
      <c r="G172" s="55" t="s">
        <v>448</v>
      </c>
      <c r="H172" s="56" t="s">
        <v>608</v>
      </c>
      <c r="I172" s="56" t="s">
        <v>610</v>
      </c>
      <c r="J172" s="9" t="str">
        <f t="shared" si="2"/>
        <v>Hawkins</v>
      </c>
    </row>
    <row r="173">
      <c r="A173" s="14" t="s">
        <v>447</v>
      </c>
      <c r="B173" s="14" t="str">
        <f t="shared" si="1"/>
        <v>Anna Henderson</v>
      </c>
      <c r="C173" s="54">
        <v>1840.0</v>
      </c>
      <c r="D173" s="10">
        <v>72.0</v>
      </c>
      <c r="E173" s="54" t="s">
        <v>12</v>
      </c>
      <c r="F173" s="54" t="s">
        <v>13</v>
      </c>
      <c r="G173" s="55" t="s">
        <v>448</v>
      </c>
      <c r="H173" s="56" t="s">
        <v>611</v>
      </c>
      <c r="I173" s="56" t="s">
        <v>495</v>
      </c>
      <c r="J173" s="9" t="str">
        <f t="shared" si="2"/>
        <v>Henderson</v>
      </c>
    </row>
    <row r="174">
      <c r="A174" s="14" t="s">
        <v>447</v>
      </c>
      <c r="B174" s="14" t="str">
        <f t="shared" si="1"/>
        <v>Miley Henderson</v>
      </c>
      <c r="C174" s="54">
        <v>1908.0</v>
      </c>
      <c r="D174" s="10">
        <v>4.0</v>
      </c>
      <c r="E174" s="54" t="s">
        <v>18</v>
      </c>
      <c r="F174" s="54" t="s">
        <v>19</v>
      </c>
      <c r="G174" s="55" t="s">
        <v>448</v>
      </c>
      <c r="H174" s="56" t="s">
        <v>611</v>
      </c>
      <c r="I174" s="56" t="s">
        <v>528</v>
      </c>
      <c r="J174" s="9" t="str">
        <f t="shared" si="2"/>
        <v>Henderson</v>
      </c>
    </row>
    <row r="175">
      <c r="A175" s="14" t="s">
        <v>447</v>
      </c>
      <c r="B175" s="14" t="str">
        <f t="shared" si="1"/>
        <v>Brad Higgins</v>
      </c>
      <c r="C175" s="54">
        <v>1889.0</v>
      </c>
      <c r="D175" s="10">
        <v>23.0</v>
      </c>
      <c r="E175" s="54" t="s">
        <v>12</v>
      </c>
      <c r="F175" s="54" t="s">
        <v>19</v>
      </c>
      <c r="G175" s="55" t="s">
        <v>448</v>
      </c>
      <c r="H175" s="56" t="s">
        <v>612</v>
      </c>
      <c r="I175" s="56" t="s">
        <v>454</v>
      </c>
      <c r="J175" s="9" t="str">
        <f t="shared" si="2"/>
        <v>Higgins</v>
      </c>
    </row>
    <row r="176">
      <c r="A176" s="14" t="s">
        <v>447</v>
      </c>
      <c r="B176" s="14" t="str">
        <f t="shared" si="1"/>
        <v>Jared Higgins</v>
      </c>
      <c r="C176" s="54">
        <v>1885.0</v>
      </c>
      <c r="D176" s="10">
        <v>27.0</v>
      </c>
      <c r="E176" s="54" t="s">
        <v>22</v>
      </c>
      <c r="F176" s="54" t="s">
        <v>13</v>
      </c>
      <c r="G176" s="55" t="s">
        <v>448</v>
      </c>
      <c r="H176" s="56" t="s">
        <v>612</v>
      </c>
      <c r="I176" s="56" t="s">
        <v>533</v>
      </c>
      <c r="J176" s="9" t="str">
        <f t="shared" si="2"/>
        <v>Higgins</v>
      </c>
    </row>
    <row r="177">
      <c r="A177" s="14" t="s">
        <v>447</v>
      </c>
      <c r="B177" s="14" t="str">
        <f t="shared" si="1"/>
        <v>Sienna Higgins</v>
      </c>
      <c r="C177" s="54">
        <v>1897.0</v>
      </c>
      <c r="D177" s="10">
        <v>15.0</v>
      </c>
      <c r="E177" s="54" t="s">
        <v>33</v>
      </c>
      <c r="F177" s="54" t="s">
        <v>19</v>
      </c>
      <c r="G177" s="55" t="s">
        <v>448</v>
      </c>
      <c r="H177" s="56" t="s">
        <v>612</v>
      </c>
      <c r="I177" s="56" t="s">
        <v>537</v>
      </c>
      <c r="J177" s="9" t="str">
        <f t="shared" si="2"/>
        <v>Higgins</v>
      </c>
    </row>
    <row r="178">
      <c r="A178" s="14" t="s">
        <v>447</v>
      </c>
      <c r="B178" s="14" t="str">
        <f t="shared" si="1"/>
        <v>Thomas Higgins</v>
      </c>
      <c r="C178" s="54">
        <v>1908.0</v>
      </c>
      <c r="D178" s="10">
        <v>4.0</v>
      </c>
      <c r="E178" s="54" t="s">
        <v>33</v>
      </c>
      <c r="F178" s="54" t="s">
        <v>19</v>
      </c>
      <c r="G178" s="55" t="s">
        <v>448</v>
      </c>
      <c r="H178" s="56" t="s">
        <v>612</v>
      </c>
      <c r="I178" s="56" t="s">
        <v>613</v>
      </c>
      <c r="J178" s="9" t="str">
        <f t="shared" si="2"/>
        <v>Higgins</v>
      </c>
    </row>
    <row r="179">
      <c r="A179" s="14" t="s">
        <v>447</v>
      </c>
      <c r="B179" s="14" t="str">
        <f t="shared" si="1"/>
        <v>Vanessa Higgins</v>
      </c>
      <c r="C179" s="54">
        <v>1841.0</v>
      </c>
      <c r="D179" s="10">
        <v>71.0</v>
      </c>
      <c r="E179" s="54" t="s">
        <v>12</v>
      </c>
      <c r="F179" s="54" t="s">
        <v>13</v>
      </c>
      <c r="G179" s="55" t="s">
        <v>448</v>
      </c>
      <c r="H179" s="56" t="s">
        <v>612</v>
      </c>
      <c r="I179" s="56" t="s">
        <v>614</v>
      </c>
      <c r="J179" s="9" t="str">
        <f t="shared" si="2"/>
        <v>Higgins</v>
      </c>
    </row>
    <row r="180">
      <c r="A180" s="14" t="s">
        <v>447</v>
      </c>
      <c r="B180" s="14" t="str">
        <f t="shared" si="1"/>
        <v>Albert Hill</v>
      </c>
      <c r="C180" s="54">
        <v>1868.0</v>
      </c>
      <c r="D180" s="10">
        <v>44.0</v>
      </c>
      <c r="E180" s="54" t="s">
        <v>22</v>
      </c>
      <c r="F180" s="54" t="s">
        <v>19</v>
      </c>
      <c r="G180" s="55" t="s">
        <v>448</v>
      </c>
      <c r="H180" s="56" t="s">
        <v>615</v>
      </c>
      <c r="I180" s="56" t="s">
        <v>595</v>
      </c>
      <c r="J180" s="9" t="str">
        <f t="shared" si="2"/>
        <v>Hill</v>
      </c>
    </row>
    <row r="181">
      <c r="A181" s="14" t="s">
        <v>447</v>
      </c>
      <c r="B181" s="14" t="str">
        <f t="shared" si="1"/>
        <v>Arthur Hill</v>
      </c>
      <c r="C181" s="54">
        <v>1874.0</v>
      </c>
      <c r="D181" s="10">
        <v>38.0</v>
      </c>
      <c r="E181" s="54" t="s">
        <v>18</v>
      </c>
      <c r="F181" s="54" t="s">
        <v>13</v>
      </c>
      <c r="G181" s="55" t="s">
        <v>448</v>
      </c>
      <c r="H181" s="56" t="s">
        <v>615</v>
      </c>
      <c r="I181" s="56" t="s">
        <v>526</v>
      </c>
      <c r="J181" s="9" t="str">
        <f t="shared" si="2"/>
        <v>Hill</v>
      </c>
    </row>
    <row r="182">
      <c r="A182" s="14" t="s">
        <v>447</v>
      </c>
      <c r="B182" s="14" t="str">
        <f t="shared" si="1"/>
        <v>George Hill</v>
      </c>
      <c r="C182" s="54">
        <v>1896.0</v>
      </c>
      <c r="D182" s="10">
        <v>16.0</v>
      </c>
      <c r="E182" s="54" t="s">
        <v>22</v>
      </c>
      <c r="F182" s="54" t="s">
        <v>19</v>
      </c>
      <c r="G182" s="55" t="s">
        <v>448</v>
      </c>
      <c r="H182" s="56" t="s">
        <v>615</v>
      </c>
      <c r="I182" s="56" t="s">
        <v>616</v>
      </c>
      <c r="J182" s="9" t="str">
        <f t="shared" si="2"/>
        <v>Hill</v>
      </c>
    </row>
    <row r="183">
      <c r="A183" s="14" t="s">
        <v>447</v>
      </c>
      <c r="B183" s="14" t="str">
        <f t="shared" si="1"/>
        <v>Jack Hill</v>
      </c>
      <c r="C183" s="54">
        <v>1874.0</v>
      </c>
      <c r="D183" s="10">
        <v>38.0</v>
      </c>
      <c r="E183" s="54" t="s">
        <v>33</v>
      </c>
      <c r="F183" s="54" t="s">
        <v>19</v>
      </c>
      <c r="G183" s="55" t="s">
        <v>448</v>
      </c>
      <c r="H183" s="56" t="s">
        <v>615</v>
      </c>
      <c r="I183" s="56" t="s">
        <v>555</v>
      </c>
      <c r="J183" s="9" t="str">
        <f t="shared" si="2"/>
        <v>Hill</v>
      </c>
    </row>
    <row r="184">
      <c r="A184" s="14" t="s">
        <v>447</v>
      </c>
      <c r="B184" s="14" t="str">
        <f t="shared" si="1"/>
        <v>Maya Hill</v>
      </c>
      <c r="C184" s="54">
        <v>1861.0</v>
      </c>
      <c r="D184" s="10">
        <v>51.0</v>
      </c>
      <c r="E184" s="54" t="s">
        <v>22</v>
      </c>
      <c r="F184" s="54" t="s">
        <v>19</v>
      </c>
      <c r="G184" s="55" t="s">
        <v>448</v>
      </c>
      <c r="H184" s="56" t="s">
        <v>615</v>
      </c>
      <c r="I184" s="56" t="s">
        <v>591</v>
      </c>
      <c r="J184" s="9" t="str">
        <f t="shared" si="2"/>
        <v>Hill</v>
      </c>
    </row>
    <row r="185">
      <c r="A185" s="14" t="s">
        <v>447</v>
      </c>
      <c r="B185" s="14" t="str">
        <f t="shared" si="1"/>
        <v>Michelle Hill</v>
      </c>
      <c r="C185" s="54">
        <v>1866.0</v>
      </c>
      <c r="D185" s="10">
        <v>46.0</v>
      </c>
      <c r="E185" s="54" t="s">
        <v>22</v>
      </c>
      <c r="F185" s="54" t="s">
        <v>19</v>
      </c>
      <c r="G185" s="55" t="s">
        <v>448</v>
      </c>
      <c r="H185" s="56" t="s">
        <v>615</v>
      </c>
      <c r="I185" s="56" t="s">
        <v>617</v>
      </c>
      <c r="J185" s="9" t="str">
        <f t="shared" si="2"/>
        <v>Hill</v>
      </c>
    </row>
    <row r="186">
      <c r="A186" s="14" t="s">
        <v>447</v>
      </c>
      <c r="B186" s="14" t="str">
        <f t="shared" si="1"/>
        <v>Sabrina Hill</v>
      </c>
      <c r="C186" s="54">
        <v>1862.0</v>
      </c>
      <c r="D186" s="10">
        <v>50.0</v>
      </c>
      <c r="E186" s="54" t="s">
        <v>12</v>
      </c>
      <c r="F186" s="54" t="s">
        <v>19</v>
      </c>
      <c r="G186" s="55" t="s">
        <v>448</v>
      </c>
      <c r="H186" s="56" t="s">
        <v>615</v>
      </c>
      <c r="I186" s="56" t="s">
        <v>474</v>
      </c>
      <c r="J186" s="9" t="str">
        <f t="shared" si="2"/>
        <v>Hill</v>
      </c>
    </row>
    <row r="187">
      <c r="A187" s="14" t="s">
        <v>447</v>
      </c>
      <c r="B187" s="14" t="str">
        <f t="shared" si="1"/>
        <v>Walter Hill</v>
      </c>
      <c r="C187" s="54">
        <v>1870.0</v>
      </c>
      <c r="D187" s="10">
        <v>42.0</v>
      </c>
      <c r="E187" s="54" t="s">
        <v>33</v>
      </c>
      <c r="F187" s="54" t="s">
        <v>19</v>
      </c>
      <c r="G187" s="55" t="s">
        <v>448</v>
      </c>
      <c r="H187" s="56" t="s">
        <v>615</v>
      </c>
      <c r="I187" s="56" t="s">
        <v>469</v>
      </c>
      <c r="J187" s="9" t="str">
        <f t="shared" si="2"/>
        <v>Hill</v>
      </c>
    </row>
    <row r="188">
      <c r="A188" s="14" t="s">
        <v>447</v>
      </c>
      <c r="B188" s="14" t="str">
        <f t="shared" si="1"/>
        <v>Alexander Holmes</v>
      </c>
      <c r="C188" s="54">
        <v>1881.0</v>
      </c>
      <c r="D188" s="10">
        <v>31.0</v>
      </c>
      <c r="E188" s="54" t="s">
        <v>22</v>
      </c>
      <c r="F188" s="54" t="s">
        <v>19</v>
      </c>
      <c r="G188" s="55" t="s">
        <v>448</v>
      </c>
      <c r="H188" s="56" t="s">
        <v>618</v>
      </c>
      <c r="I188" s="56" t="s">
        <v>619</v>
      </c>
      <c r="J188" s="9" t="str">
        <f t="shared" si="2"/>
        <v>Holmes</v>
      </c>
    </row>
    <row r="189">
      <c r="A189" s="14" t="s">
        <v>447</v>
      </c>
      <c r="B189" s="14" t="str">
        <f t="shared" si="1"/>
        <v>Frederick Holmes</v>
      </c>
      <c r="C189" s="54">
        <v>1879.0</v>
      </c>
      <c r="D189" s="10">
        <v>33.0</v>
      </c>
      <c r="E189" s="54" t="s">
        <v>12</v>
      </c>
      <c r="F189" s="54" t="s">
        <v>13</v>
      </c>
      <c r="G189" s="55" t="s">
        <v>448</v>
      </c>
      <c r="H189" s="56" t="s">
        <v>618</v>
      </c>
      <c r="I189" s="56" t="s">
        <v>578</v>
      </c>
      <c r="J189" s="9" t="str">
        <f t="shared" si="2"/>
        <v>Holmes</v>
      </c>
    </row>
    <row r="190">
      <c r="A190" s="14" t="s">
        <v>447</v>
      </c>
      <c r="B190" s="14" t="str">
        <f t="shared" si="1"/>
        <v>Tess Holmes</v>
      </c>
      <c r="C190" s="54">
        <v>1863.0</v>
      </c>
      <c r="D190" s="10">
        <v>49.0</v>
      </c>
      <c r="E190" s="54" t="s">
        <v>22</v>
      </c>
      <c r="F190" s="54" t="s">
        <v>19</v>
      </c>
      <c r="G190" s="55" t="s">
        <v>448</v>
      </c>
      <c r="H190" s="56" t="s">
        <v>618</v>
      </c>
      <c r="I190" s="56" t="s">
        <v>620</v>
      </c>
      <c r="J190" s="9" t="str">
        <f t="shared" si="2"/>
        <v>Holmes</v>
      </c>
    </row>
    <row r="191">
      <c r="A191" s="14" t="s">
        <v>447</v>
      </c>
      <c r="B191" s="14" t="str">
        <f t="shared" si="1"/>
        <v>Heather Howard</v>
      </c>
      <c r="C191" s="54">
        <v>1875.0</v>
      </c>
      <c r="D191" s="10">
        <v>37.0</v>
      </c>
      <c r="E191" s="54" t="s">
        <v>33</v>
      </c>
      <c r="F191" s="54" t="s">
        <v>19</v>
      </c>
      <c r="G191" s="55" t="s">
        <v>448</v>
      </c>
      <c r="H191" s="56" t="s">
        <v>621</v>
      </c>
      <c r="I191" s="56" t="s">
        <v>622</v>
      </c>
      <c r="J191" s="9" t="str">
        <f t="shared" si="2"/>
        <v>Howard</v>
      </c>
    </row>
    <row r="192">
      <c r="A192" s="14" t="s">
        <v>447</v>
      </c>
      <c r="B192" s="14" t="str">
        <f t="shared" si="1"/>
        <v>Jasmine Howard</v>
      </c>
      <c r="C192" s="54">
        <v>1846.0</v>
      </c>
      <c r="D192" s="10">
        <v>66.0</v>
      </c>
      <c r="E192" s="54" t="s">
        <v>22</v>
      </c>
      <c r="F192" s="54" t="s">
        <v>19</v>
      </c>
      <c r="G192" s="55" t="s">
        <v>448</v>
      </c>
      <c r="H192" s="56" t="s">
        <v>621</v>
      </c>
      <c r="I192" s="56" t="s">
        <v>623</v>
      </c>
      <c r="J192" s="9" t="str">
        <f t="shared" si="2"/>
        <v>Howard</v>
      </c>
    </row>
    <row r="193">
      <c r="A193" s="14" t="s">
        <v>447</v>
      </c>
      <c r="B193" s="14" t="str">
        <f t="shared" si="1"/>
        <v>Ryan Howard</v>
      </c>
      <c r="C193" s="54">
        <v>1840.0</v>
      </c>
      <c r="D193" s="10">
        <v>72.0</v>
      </c>
      <c r="E193" s="54" t="s">
        <v>33</v>
      </c>
      <c r="F193" s="54" t="s">
        <v>19</v>
      </c>
      <c r="G193" s="55" t="s">
        <v>448</v>
      </c>
      <c r="H193" s="56" t="s">
        <v>621</v>
      </c>
      <c r="I193" s="56" t="s">
        <v>451</v>
      </c>
      <c r="J193" s="9" t="str">
        <f t="shared" si="2"/>
        <v>Howard</v>
      </c>
    </row>
    <row r="194">
      <c r="A194" s="14" t="s">
        <v>447</v>
      </c>
      <c r="B194" s="14" t="str">
        <f t="shared" si="1"/>
        <v>Wilson Howard</v>
      </c>
      <c r="C194" s="54">
        <v>1868.0</v>
      </c>
      <c r="D194" s="10">
        <v>44.0</v>
      </c>
      <c r="E194" s="54" t="s">
        <v>22</v>
      </c>
      <c r="F194" s="54" t="s">
        <v>19</v>
      </c>
      <c r="G194" s="55" t="s">
        <v>448</v>
      </c>
      <c r="H194" s="56" t="s">
        <v>621</v>
      </c>
      <c r="I194" s="56" t="s">
        <v>522</v>
      </c>
      <c r="J194" s="9" t="str">
        <f t="shared" si="2"/>
        <v>Howard</v>
      </c>
    </row>
    <row r="195">
      <c r="A195" s="14" t="s">
        <v>447</v>
      </c>
      <c r="B195" s="14" t="str">
        <f t="shared" si="1"/>
        <v>Ashton Hunt</v>
      </c>
      <c r="C195" s="54">
        <v>1869.0</v>
      </c>
      <c r="D195" s="10">
        <v>43.0</v>
      </c>
      <c r="E195" s="54" t="s">
        <v>22</v>
      </c>
      <c r="F195" s="54" t="s">
        <v>19</v>
      </c>
      <c r="G195" s="55" t="s">
        <v>448</v>
      </c>
      <c r="H195" s="56" t="s">
        <v>624</v>
      </c>
      <c r="I195" s="56" t="s">
        <v>625</v>
      </c>
      <c r="J195" s="9" t="str">
        <f t="shared" si="2"/>
        <v>Hunt</v>
      </c>
    </row>
    <row r="196">
      <c r="A196" s="14" t="s">
        <v>447</v>
      </c>
      <c r="B196" s="14" t="str">
        <f t="shared" si="1"/>
        <v>Clark Hunt</v>
      </c>
      <c r="C196" s="54">
        <v>1870.0</v>
      </c>
      <c r="D196" s="10">
        <v>42.0</v>
      </c>
      <c r="E196" s="54" t="s">
        <v>33</v>
      </c>
      <c r="F196" s="54" t="s">
        <v>19</v>
      </c>
      <c r="G196" s="55" t="s">
        <v>448</v>
      </c>
      <c r="H196" s="56" t="s">
        <v>624</v>
      </c>
      <c r="I196" s="56" t="s">
        <v>626</v>
      </c>
      <c r="J196" s="9" t="str">
        <f t="shared" si="2"/>
        <v>Hunt</v>
      </c>
    </row>
    <row r="197">
      <c r="A197" s="14" t="s">
        <v>447</v>
      </c>
      <c r="B197" s="14" t="str">
        <f t="shared" si="1"/>
        <v>Deanna Hunt</v>
      </c>
      <c r="C197" s="54">
        <v>1874.0</v>
      </c>
      <c r="D197" s="10">
        <v>38.0</v>
      </c>
      <c r="E197" s="54" t="s">
        <v>22</v>
      </c>
      <c r="F197" s="54" t="s">
        <v>19</v>
      </c>
      <c r="G197" s="55" t="s">
        <v>448</v>
      </c>
      <c r="H197" s="56" t="s">
        <v>624</v>
      </c>
      <c r="I197" s="56" t="s">
        <v>508</v>
      </c>
      <c r="J197" s="9" t="str">
        <f t="shared" si="2"/>
        <v>Hunt</v>
      </c>
    </row>
    <row r="198">
      <c r="A198" s="14" t="s">
        <v>447</v>
      </c>
      <c r="B198" s="14" t="str">
        <f t="shared" si="1"/>
        <v>Hailey Hunt</v>
      </c>
      <c r="C198" s="54">
        <v>1890.0</v>
      </c>
      <c r="D198" s="10">
        <v>22.0</v>
      </c>
      <c r="E198" s="54" t="s">
        <v>22</v>
      </c>
      <c r="F198" s="54" t="s">
        <v>19</v>
      </c>
      <c r="G198" s="55" t="s">
        <v>448</v>
      </c>
      <c r="H198" s="56" t="s">
        <v>624</v>
      </c>
      <c r="I198" s="56" t="s">
        <v>481</v>
      </c>
      <c r="J198" s="9" t="str">
        <f t="shared" si="2"/>
        <v>Hunt</v>
      </c>
    </row>
    <row r="199">
      <c r="A199" s="14" t="s">
        <v>447</v>
      </c>
      <c r="B199" s="14" t="str">
        <f t="shared" si="1"/>
        <v>Melanie Hunt</v>
      </c>
      <c r="C199" s="54">
        <v>1903.0</v>
      </c>
      <c r="D199" s="10">
        <v>9.0</v>
      </c>
      <c r="E199" s="54" t="s">
        <v>33</v>
      </c>
      <c r="F199" s="54" t="s">
        <v>19</v>
      </c>
      <c r="G199" s="55" t="s">
        <v>448</v>
      </c>
      <c r="H199" s="56" t="s">
        <v>624</v>
      </c>
      <c r="I199" s="56" t="s">
        <v>468</v>
      </c>
      <c r="J199" s="9" t="str">
        <f t="shared" si="2"/>
        <v>Hunt</v>
      </c>
    </row>
    <row r="200">
      <c r="A200" s="14" t="s">
        <v>447</v>
      </c>
      <c r="B200" s="14" t="str">
        <f t="shared" si="1"/>
        <v>Sarah Hunt</v>
      </c>
      <c r="C200" s="54">
        <v>1853.0</v>
      </c>
      <c r="D200" s="10">
        <v>59.0</v>
      </c>
      <c r="E200" s="54" t="s">
        <v>18</v>
      </c>
      <c r="F200" s="54" t="s">
        <v>13</v>
      </c>
      <c r="G200" s="55" t="s">
        <v>448</v>
      </c>
      <c r="H200" s="56" t="s">
        <v>624</v>
      </c>
      <c r="I200" s="56" t="s">
        <v>490</v>
      </c>
      <c r="J200" s="9" t="str">
        <f t="shared" si="2"/>
        <v>Hunt</v>
      </c>
    </row>
    <row r="201">
      <c r="A201" s="14" t="s">
        <v>447</v>
      </c>
      <c r="B201" s="14" t="str">
        <f t="shared" si="1"/>
        <v>Reid Johnson</v>
      </c>
      <c r="C201" s="54">
        <v>1882.0</v>
      </c>
      <c r="D201" s="10">
        <v>30.0</v>
      </c>
      <c r="E201" s="54" t="s">
        <v>33</v>
      </c>
      <c r="F201" s="54" t="s">
        <v>19</v>
      </c>
      <c r="G201" s="55" t="s">
        <v>448</v>
      </c>
      <c r="H201" s="56" t="s">
        <v>627</v>
      </c>
      <c r="I201" s="56" t="s">
        <v>450</v>
      </c>
      <c r="J201" s="9" t="str">
        <f t="shared" si="2"/>
        <v>Johnson</v>
      </c>
    </row>
    <row r="202">
      <c r="A202" s="14" t="s">
        <v>447</v>
      </c>
      <c r="B202" s="14" t="str">
        <f t="shared" si="1"/>
        <v>Valeria Johnson</v>
      </c>
      <c r="C202" s="54">
        <v>1904.0</v>
      </c>
      <c r="D202" s="10">
        <v>8.0</v>
      </c>
      <c r="E202" s="54" t="s">
        <v>18</v>
      </c>
      <c r="F202" s="54" t="s">
        <v>19</v>
      </c>
      <c r="G202" s="55" t="s">
        <v>448</v>
      </c>
      <c r="H202" s="56" t="s">
        <v>627</v>
      </c>
      <c r="I202" s="56" t="s">
        <v>628</v>
      </c>
      <c r="J202" s="9" t="str">
        <f t="shared" si="2"/>
        <v>Johnson</v>
      </c>
    </row>
    <row r="203">
      <c r="A203" s="14" t="s">
        <v>447</v>
      </c>
      <c r="B203" s="14" t="str">
        <f t="shared" si="1"/>
        <v>Adele Johnston</v>
      </c>
      <c r="C203" s="54">
        <v>1873.0</v>
      </c>
      <c r="D203" s="10">
        <v>39.0</v>
      </c>
      <c r="E203" s="54" t="s">
        <v>33</v>
      </c>
      <c r="F203" s="54" t="s">
        <v>19</v>
      </c>
      <c r="G203" s="55" t="s">
        <v>448</v>
      </c>
      <c r="H203" s="56" t="s">
        <v>629</v>
      </c>
      <c r="I203" s="56" t="s">
        <v>630</v>
      </c>
      <c r="J203" s="9" t="str">
        <f t="shared" si="2"/>
        <v>Johnston</v>
      </c>
    </row>
    <row r="204">
      <c r="A204" s="14" t="s">
        <v>447</v>
      </c>
      <c r="B204" s="14" t="str">
        <f t="shared" si="1"/>
        <v>Andrew Johnston</v>
      </c>
      <c r="C204" s="54">
        <v>1910.0</v>
      </c>
      <c r="D204" s="10">
        <v>2.0</v>
      </c>
      <c r="E204" s="54" t="s">
        <v>33</v>
      </c>
      <c r="F204" s="54" t="s">
        <v>19</v>
      </c>
      <c r="G204" s="55" t="s">
        <v>448</v>
      </c>
      <c r="H204" s="56" t="s">
        <v>629</v>
      </c>
      <c r="I204" s="56" t="s">
        <v>631</v>
      </c>
      <c r="J204" s="9" t="str">
        <f t="shared" si="2"/>
        <v>Johnston</v>
      </c>
    </row>
    <row r="205">
      <c r="A205" s="14" t="s">
        <v>447</v>
      </c>
      <c r="B205" s="14" t="str">
        <f t="shared" si="1"/>
        <v>Deanna Jones</v>
      </c>
      <c r="C205" s="54">
        <v>1855.0</v>
      </c>
      <c r="D205" s="10">
        <v>57.0</v>
      </c>
      <c r="E205" s="54" t="s">
        <v>12</v>
      </c>
      <c r="F205" s="54" t="s">
        <v>19</v>
      </c>
      <c r="G205" s="55" t="s">
        <v>448</v>
      </c>
      <c r="H205" s="56" t="s">
        <v>632</v>
      </c>
      <c r="I205" s="56" t="s">
        <v>508</v>
      </c>
      <c r="J205" s="9" t="str">
        <f t="shared" si="2"/>
        <v>Jones</v>
      </c>
    </row>
    <row r="206">
      <c r="A206" s="14" t="s">
        <v>447</v>
      </c>
      <c r="B206" s="14" t="str">
        <f t="shared" si="1"/>
        <v>Mary Jones</v>
      </c>
      <c r="C206" s="54">
        <v>1869.0</v>
      </c>
      <c r="D206" s="10">
        <v>43.0</v>
      </c>
      <c r="E206" s="54" t="s">
        <v>12</v>
      </c>
      <c r="F206" s="54" t="s">
        <v>19</v>
      </c>
      <c r="G206" s="55" t="s">
        <v>448</v>
      </c>
      <c r="H206" s="56" t="s">
        <v>632</v>
      </c>
      <c r="I206" s="56" t="s">
        <v>587</v>
      </c>
      <c r="J206" s="9" t="str">
        <f t="shared" si="2"/>
        <v>Jones</v>
      </c>
    </row>
    <row r="207">
      <c r="A207" s="14" t="s">
        <v>447</v>
      </c>
      <c r="B207" s="14" t="str">
        <f t="shared" si="1"/>
        <v>Sawyer Jones</v>
      </c>
      <c r="C207" s="54">
        <v>1895.0</v>
      </c>
      <c r="D207" s="10">
        <v>17.0</v>
      </c>
      <c r="E207" s="54" t="s">
        <v>12</v>
      </c>
      <c r="F207" s="54" t="s">
        <v>13</v>
      </c>
      <c r="G207" s="55" t="s">
        <v>448</v>
      </c>
      <c r="H207" s="56" t="s">
        <v>632</v>
      </c>
      <c r="I207" s="56" t="s">
        <v>458</v>
      </c>
      <c r="J207" s="9" t="str">
        <f t="shared" si="2"/>
        <v>Jones</v>
      </c>
    </row>
    <row r="208">
      <c r="A208" s="14" t="s">
        <v>447</v>
      </c>
      <c r="B208" s="14" t="str">
        <f t="shared" si="1"/>
        <v>Alfred Kelley</v>
      </c>
      <c r="C208" s="54">
        <v>1875.0</v>
      </c>
      <c r="D208" s="10">
        <v>37.0</v>
      </c>
      <c r="E208" s="54" t="s">
        <v>22</v>
      </c>
      <c r="F208" s="54" t="s">
        <v>19</v>
      </c>
      <c r="G208" s="55" t="s">
        <v>448</v>
      </c>
      <c r="H208" s="56" t="s">
        <v>633</v>
      </c>
      <c r="I208" s="56" t="s">
        <v>472</v>
      </c>
      <c r="J208" s="9" t="str">
        <f t="shared" si="2"/>
        <v>Kelley</v>
      </c>
    </row>
    <row r="209">
      <c r="A209" s="14" t="s">
        <v>447</v>
      </c>
      <c r="B209" s="14" t="str">
        <f t="shared" si="1"/>
        <v>Jacob Kelley</v>
      </c>
      <c r="C209" s="54">
        <v>1841.0</v>
      </c>
      <c r="D209" s="10">
        <v>71.0</v>
      </c>
      <c r="E209" s="54" t="s">
        <v>22</v>
      </c>
      <c r="F209" s="54" t="s">
        <v>19</v>
      </c>
      <c r="G209" s="55" t="s">
        <v>448</v>
      </c>
      <c r="H209" s="56" t="s">
        <v>633</v>
      </c>
      <c r="I209" s="56" t="s">
        <v>460</v>
      </c>
      <c r="J209" s="9" t="str">
        <f t="shared" si="2"/>
        <v>Kelley</v>
      </c>
    </row>
    <row r="210">
      <c r="A210" s="14" t="s">
        <v>447</v>
      </c>
      <c r="B210" s="14" t="str">
        <f t="shared" si="1"/>
        <v>Belinda Kelly</v>
      </c>
      <c r="C210" s="54">
        <v>1859.0</v>
      </c>
      <c r="D210" s="10">
        <v>53.0</v>
      </c>
      <c r="E210" s="54" t="s">
        <v>22</v>
      </c>
      <c r="F210" s="54" t="s">
        <v>19</v>
      </c>
      <c r="G210" s="55" t="s">
        <v>448</v>
      </c>
      <c r="H210" s="56" t="s">
        <v>634</v>
      </c>
      <c r="I210" s="56" t="s">
        <v>558</v>
      </c>
      <c r="J210" s="9" t="str">
        <f t="shared" si="2"/>
        <v>Kelly</v>
      </c>
    </row>
    <row r="211">
      <c r="A211" s="14" t="s">
        <v>447</v>
      </c>
      <c r="B211" s="14" t="str">
        <f t="shared" si="1"/>
        <v>Chelsea Kelly</v>
      </c>
      <c r="C211" s="54">
        <v>1898.0</v>
      </c>
      <c r="D211" s="10">
        <v>14.0</v>
      </c>
      <c r="E211" s="54" t="s">
        <v>33</v>
      </c>
      <c r="F211" s="54" t="s">
        <v>19</v>
      </c>
      <c r="G211" s="55" t="s">
        <v>448</v>
      </c>
      <c r="H211" s="56" t="s">
        <v>634</v>
      </c>
      <c r="I211" s="56" t="s">
        <v>585</v>
      </c>
      <c r="J211" s="9" t="str">
        <f t="shared" si="2"/>
        <v>Kelly</v>
      </c>
    </row>
    <row r="212">
      <c r="A212" s="14" t="s">
        <v>447</v>
      </c>
      <c r="B212" s="14" t="str">
        <f t="shared" si="1"/>
        <v>Edith Kelly</v>
      </c>
      <c r="C212" s="54">
        <v>1884.0</v>
      </c>
      <c r="D212" s="10">
        <v>28.0</v>
      </c>
      <c r="E212" s="54" t="s">
        <v>22</v>
      </c>
      <c r="F212" s="54" t="s">
        <v>19</v>
      </c>
      <c r="G212" s="55" t="s">
        <v>448</v>
      </c>
      <c r="H212" s="56" t="s">
        <v>634</v>
      </c>
      <c r="I212" s="56" t="s">
        <v>455</v>
      </c>
      <c r="J212" s="9" t="str">
        <f t="shared" si="2"/>
        <v>Kelly</v>
      </c>
    </row>
    <row r="213">
      <c r="A213" s="14" t="s">
        <v>447</v>
      </c>
      <c r="B213" s="14" t="str">
        <f t="shared" si="1"/>
        <v>Garry Kelly</v>
      </c>
      <c r="C213" s="54">
        <v>1856.0</v>
      </c>
      <c r="D213" s="10">
        <v>56.0</v>
      </c>
      <c r="E213" s="54" t="s">
        <v>22</v>
      </c>
      <c r="F213" s="54" t="s">
        <v>13</v>
      </c>
      <c r="G213" s="55" t="s">
        <v>448</v>
      </c>
      <c r="H213" s="56" t="s">
        <v>634</v>
      </c>
      <c r="I213" s="56" t="s">
        <v>602</v>
      </c>
      <c r="J213" s="9" t="str">
        <f t="shared" si="2"/>
        <v>Kelly</v>
      </c>
    </row>
    <row r="214">
      <c r="A214" s="14" t="s">
        <v>447</v>
      </c>
      <c r="B214" s="14" t="str">
        <f t="shared" si="1"/>
        <v>George Kelly</v>
      </c>
      <c r="C214" s="54">
        <v>1888.0</v>
      </c>
      <c r="D214" s="10">
        <v>24.0</v>
      </c>
      <c r="E214" s="54" t="s">
        <v>18</v>
      </c>
      <c r="F214" s="54" t="s">
        <v>19</v>
      </c>
      <c r="G214" s="55" t="s">
        <v>448</v>
      </c>
      <c r="H214" s="56" t="s">
        <v>634</v>
      </c>
      <c r="I214" s="56" t="s">
        <v>616</v>
      </c>
      <c r="J214" s="9" t="str">
        <f t="shared" si="2"/>
        <v>Kelly</v>
      </c>
    </row>
    <row r="215">
      <c r="A215" s="14" t="s">
        <v>447</v>
      </c>
      <c r="B215" s="14" t="str">
        <f t="shared" si="1"/>
        <v>Michelle Kelly</v>
      </c>
      <c r="C215" s="54">
        <v>1896.0</v>
      </c>
      <c r="D215" s="10">
        <v>16.0</v>
      </c>
      <c r="E215" s="54" t="s">
        <v>18</v>
      </c>
      <c r="F215" s="54" t="s">
        <v>13</v>
      </c>
      <c r="G215" s="55" t="s">
        <v>448</v>
      </c>
      <c r="H215" s="56" t="s">
        <v>634</v>
      </c>
      <c r="I215" s="56" t="s">
        <v>617</v>
      </c>
      <c r="J215" s="9" t="str">
        <f t="shared" si="2"/>
        <v>Kelly</v>
      </c>
    </row>
    <row r="216">
      <c r="A216" s="14" t="s">
        <v>447</v>
      </c>
      <c r="B216" s="14" t="str">
        <f t="shared" si="1"/>
        <v>Sienna Kelly</v>
      </c>
      <c r="C216" s="54">
        <v>1857.0</v>
      </c>
      <c r="D216" s="10">
        <v>55.0</v>
      </c>
      <c r="E216" s="54" t="s">
        <v>18</v>
      </c>
      <c r="F216" s="54" t="s">
        <v>19</v>
      </c>
      <c r="G216" s="55" t="s">
        <v>448</v>
      </c>
      <c r="H216" s="56" t="s">
        <v>634</v>
      </c>
      <c r="I216" s="56" t="s">
        <v>537</v>
      </c>
      <c r="J216" s="9" t="str">
        <f t="shared" si="2"/>
        <v>Kelly</v>
      </c>
    </row>
    <row r="217">
      <c r="A217" s="14" t="s">
        <v>447</v>
      </c>
      <c r="B217" s="14" t="str">
        <f t="shared" si="1"/>
        <v>Lucy Lloyd</v>
      </c>
      <c r="C217" s="54">
        <v>1908.0</v>
      </c>
      <c r="D217" s="10">
        <v>4.0</v>
      </c>
      <c r="E217" s="54" t="s">
        <v>33</v>
      </c>
      <c r="F217" s="54" t="s">
        <v>19</v>
      </c>
      <c r="G217" s="55" t="s">
        <v>448</v>
      </c>
      <c r="H217" s="56" t="s">
        <v>635</v>
      </c>
      <c r="I217" s="56" t="s">
        <v>583</v>
      </c>
      <c r="J217" s="9" t="str">
        <f t="shared" si="2"/>
        <v>Lloyd</v>
      </c>
    </row>
    <row r="218">
      <c r="A218" s="14" t="s">
        <v>447</v>
      </c>
      <c r="B218" s="14" t="str">
        <f t="shared" si="1"/>
        <v>Owen Lloyd</v>
      </c>
      <c r="C218" s="54">
        <v>1840.0</v>
      </c>
      <c r="D218" s="10">
        <v>72.0</v>
      </c>
      <c r="E218" s="54" t="s">
        <v>22</v>
      </c>
      <c r="F218" s="54" t="s">
        <v>19</v>
      </c>
      <c r="G218" s="55" t="s">
        <v>448</v>
      </c>
      <c r="H218" s="56" t="s">
        <v>635</v>
      </c>
      <c r="I218" s="56" t="s">
        <v>483</v>
      </c>
      <c r="J218" s="9" t="str">
        <f t="shared" si="2"/>
        <v>Lloyd</v>
      </c>
    </row>
    <row r="219">
      <c r="A219" s="14" t="s">
        <v>447</v>
      </c>
      <c r="B219" s="14" t="str">
        <f t="shared" si="1"/>
        <v>Alfred Martin</v>
      </c>
      <c r="C219" s="54">
        <v>1890.0</v>
      </c>
      <c r="D219" s="10">
        <v>22.0</v>
      </c>
      <c r="E219" s="54" t="s">
        <v>18</v>
      </c>
      <c r="F219" s="54" t="s">
        <v>19</v>
      </c>
      <c r="G219" s="55" t="s">
        <v>448</v>
      </c>
      <c r="H219" s="56" t="s">
        <v>636</v>
      </c>
      <c r="I219" s="56" t="s">
        <v>472</v>
      </c>
      <c r="J219" s="9" t="str">
        <f t="shared" si="2"/>
        <v>Martin</v>
      </c>
    </row>
    <row r="220">
      <c r="A220" s="14" t="s">
        <v>447</v>
      </c>
      <c r="B220" s="14" t="str">
        <f t="shared" si="1"/>
        <v>Alisa Martin</v>
      </c>
      <c r="C220" s="54">
        <v>1874.0</v>
      </c>
      <c r="D220" s="10">
        <v>38.0</v>
      </c>
      <c r="E220" s="54" t="s">
        <v>22</v>
      </c>
      <c r="F220" s="54" t="s">
        <v>19</v>
      </c>
      <c r="G220" s="55" t="s">
        <v>448</v>
      </c>
      <c r="H220" s="56" t="s">
        <v>636</v>
      </c>
      <c r="I220" s="56" t="s">
        <v>545</v>
      </c>
      <c r="J220" s="9" t="str">
        <f t="shared" si="2"/>
        <v>Martin</v>
      </c>
    </row>
    <row r="221">
      <c r="A221" s="14" t="s">
        <v>447</v>
      </c>
      <c r="B221" s="14" t="str">
        <f t="shared" si="1"/>
        <v>Fiona Martin</v>
      </c>
      <c r="C221" s="54">
        <v>1859.0</v>
      </c>
      <c r="D221" s="10">
        <v>53.0</v>
      </c>
      <c r="E221" s="54" t="s">
        <v>12</v>
      </c>
      <c r="F221" s="54" t="s">
        <v>19</v>
      </c>
      <c r="G221" s="55" t="s">
        <v>448</v>
      </c>
      <c r="H221" s="56" t="s">
        <v>636</v>
      </c>
      <c r="I221" s="56" t="s">
        <v>637</v>
      </c>
      <c r="J221" s="9" t="str">
        <f t="shared" si="2"/>
        <v>Martin</v>
      </c>
    </row>
    <row r="222">
      <c r="A222" s="14" t="s">
        <v>447</v>
      </c>
      <c r="B222" s="14" t="str">
        <f t="shared" si="1"/>
        <v>Haris Martin</v>
      </c>
      <c r="C222" s="54">
        <v>1891.0</v>
      </c>
      <c r="D222" s="10">
        <v>21.0</v>
      </c>
      <c r="E222" s="54" t="s">
        <v>22</v>
      </c>
      <c r="F222" s="54" t="s">
        <v>13</v>
      </c>
      <c r="G222" s="55" t="s">
        <v>448</v>
      </c>
      <c r="H222" s="56" t="s">
        <v>636</v>
      </c>
      <c r="I222" s="56" t="s">
        <v>559</v>
      </c>
      <c r="J222" s="9" t="str">
        <f t="shared" si="2"/>
        <v>Martin</v>
      </c>
    </row>
    <row r="223">
      <c r="A223" s="14" t="s">
        <v>447</v>
      </c>
      <c r="B223" s="14" t="str">
        <f t="shared" si="1"/>
        <v>Harold Martin</v>
      </c>
      <c r="C223" s="54">
        <v>1877.0</v>
      </c>
      <c r="D223" s="10">
        <v>35.0</v>
      </c>
      <c r="E223" s="54" t="s">
        <v>12</v>
      </c>
      <c r="F223" s="54" t="s">
        <v>13</v>
      </c>
      <c r="G223" s="55" t="s">
        <v>448</v>
      </c>
      <c r="H223" s="56" t="s">
        <v>636</v>
      </c>
      <c r="I223" s="56" t="s">
        <v>638</v>
      </c>
      <c r="J223" s="9" t="str">
        <f t="shared" si="2"/>
        <v>Martin</v>
      </c>
    </row>
    <row r="224">
      <c r="A224" s="14" t="s">
        <v>447</v>
      </c>
      <c r="B224" s="14" t="str">
        <f t="shared" si="1"/>
        <v>Jessica Martin</v>
      </c>
      <c r="C224" s="54">
        <v>1868.0</v>
      </c>
      <c r="D224" s="10">
        <v>44.0</v>
      </c>
      <c r="E224" s="54" t="s">
        <v>33</v>
      </c>
      <c r="F224" s="54" t="s">
        <v>19</v>
      </c>
      <c r="G224" s="55" t="s">
        <v>448</v>
      </c>
      <c r="H224" s="56" t="s">
        <v>636</v>
      </c>
      <c r="I224" s="56" t="s">
        <v>503</v>
      </c>
      <c r="J224" s="9" t="str">
        <f t="shared" si="2"/>
        <v>Martin</v>
      </c>
    </row>
    <row r="225">
      <c r="A225" s="14" t="s">
        <v>447</v>
      </c>
      <c r="B225" s="14" t="str">
        <f t="shared" si="1"/>
        <v>Aston Mason</v>
      </c>
      <c r="C225" s="54">
        <v>1904.0</v>
      </c>
      <c r="D225" s="10">
        <v>8.0</v>
      </c>
      <c r="E225" s="54" t="s">
        <v>18</v>
      </c>
      <c r="F225" s="54" t="s">
        <v>13</v>
      </c>
      <c r="G225" s="55" t="s">
        <v>448</v>
      </c>
      <c r="H225" s="56" t="s">
        <v>639</v>
      </c>
      <c r="I225" s="56" t="s">
        <v>573</v>
      </c>
      <c r="J225" s="9" t="str">
        <f t="shared" si="2"/>
        <v>Mason</v>
      </c>
    </row>
    <row r="226">
      <c r="A226" s="14" t="s">
        <v>447</v>
      </c>
      <c r="B226" s="14" t="str">
        <f t="shared" si="1"/>
        <v>Chloe Mason</v>
      </c>
      <c r="C226" s="54">
        <v>1870.0</v>
      </c>
      <c r="D226" s="10">
        <v>42.0</v>
      </c>
      <c r="E226" s="54" t="s">
        <v>33</v>
      </c>
      <c r="F226" s="54" t="s">
        <v>13</v>
      </c>
      <c r="G226" s="55" t="s">
        <v>448</v>
      </c>
      <c r="H226" s="56" t="s">
        <v>639</v>
      </c>
      <c r="I226" s="56" t="s">
        <v>640</v>
      </c>
      <c r="J226" s="9" t="str">
        <f t="shared" si="2"/>
        <v>Mason</v>
      </c>
    </row>
    <row r="227">
      <c r="A227" s="14" t="s">
        <v>447</v>
      </c>
      <c r="B227" s="14" t="str">
        <f t="shared" si="1"/>
        <v>Kate Mason</v>
      </c>
      <c r="C227" s="54">
        <v>1843.0</v>
      </c>
      <c r="D227" s="10">
        <v>69.0</v>
      </c>
      <c r="E227" s="54" t="s">
        <v>22</v>
      </c>
      <c r="F227" s="54" t="s">
        <v>19</v>
      </c>
      <c r="G227" s="55" t="s">
        <v>448</v>
      </c>
      <c r="H227" s="56" t="s">
        <v>639</v>
      </c>
      <c r="I227" s="56" t="s">
        <v>641</v>
      </c>
      <c r="J227" s="9" t="str">
        <f t="shared" si="2"/>
        <v>Mason</v>
      </c>
    </row>
    <row r="228">
      <c r="A228" s="14" t="s">
        <v>447</v>
      </c>
      <c r="B228" s="14" t="str">
        <f t="shared" si="1"/>
        <v>Madaline Mason</v>
      </c>
      <c r="C228" s="54">
        <v>1854.0</v>
      </c>
      <c r="D228" s="10">
        <v>58.0</v>
      </c>
      <c r="E228" s="54" t="s">
        <v>22</v>
      </c>
      <c r="F228" s="54" t="s">
        <v>19</v>
      </c>
      <c r="G228" s="55" t="s">
        <v>448</v>
      </c>
      <c r="H228" s="56" t="s">
        <v>639</v>
      </c>
      <c r="I228" s="56" t="s">
        <v>556</v>
      </c>
      <c r="J228" s="9" t="str">
        <f t="shared" si="2"/>
        <v>Mason</v>
      </c>
    </row>
    <row r="229">
      <c r="A229" s="14" t="s">
        <v>447</v>
      </c>
      <c r="B229" s="14" t="str">
        <f t="shared" si="1"/>
        <v>Ashton Miller</v>
      </c>
      <c r="C229" s="54">
        <v>1848.0</v>
      </c>
      <c r="D229" s="10">
        <v>64.0</v>
      </c>
      <c r="E229" s="54" t="s">
        <v>22</v>
      </c>
      <c r="F229" s="54" t="s">
        <v>19</v>
      </c>
      <c r="G229" s="55" t="s">
        <v>448</v>
      </c>
      <c r="H229" s="56" t="s">
        <v>642</v>
      </c>
      <c r="I229" s="56" t="s">
        <v>625</v>
      </c>
      <c r="J229" s="9" t="str">
        <f t="shared" si="2"/>
        <v>Miller</v>
      </c>
    </row>
    <row r="230">
      <c r="A230" s="14" t="s">
        <v>447</v>
      </c>
      <c r="B230" s="14" t="str">
        <f t="shared" si="1"/>
        <v>Sarah Miller</v>
      </c>
      <c r="C230" s="54">
        <v>1884.0</v>
      </c>
      <c r="D230" s="10">
        <v>28.0</v>
      </c>
      <c r="E230" s="54" t="s">
        <v>22</v>
      </c>
      <c r="F230" s="54" t="s">
        <v>19</v>
      </c>
      <c r="G230" s="55" t="s">
        <v>448</v>
      </c>
      <c r="H230" s="56" t="s">
        <v>642</v>
      </c>
      <c r="I230" s="56" t="s">
        <v>490</v>
      </c>
      <c r="J230" s="9" t="str">
        <f t="shared" si="2"/>
        <v>Miller</v>
      </c>
    </row>
    <row r="231">
      <c r="A231" s="14" t="s">
        <v>447</v>
      </c>
      <c r="B231" s="14" t="str">
        <f t="shared" si="1"/>
        <v>Steven Miller</v>
      </c>
      <c r="C231" s="54">
        <v>1866.0</v>
      </c>
      <c r="D231" s="10">
        <v>46.0</v>
      </c>
      <c r="E231" s="54" t="s">
        <v>22</v>
      </c>
      <c r="F231" s="54" t="s">
        <v>19</v>
      </c>
      <c r="G231" s="55" t="s">
        <v>448</v>
      </c>
      <c r="H231" s="56" t="s">
        <v>642</v>
      </c>
      <c r="I231" s="56" t="s">
        <v>643</v>
      </c>
      <c r="J231" s="9" t="str">
        <f t="shared" si="2"/>
        <v>Miller</v>
      </c>
    </row>
    <row r="232">
      <c r="A232" s="14" t="s">
        <v>447</v>
      </c>
      <c r="B232" s="14" t="str">
        <f t="shared" si="1"/>
        <v>Melanie Mitchell</v>
      </c>
      <c r="C232" s="54">
        <v>1858.0</v>
      </c>
      <c r="D232" s="10">
        <v>54.0</v>
      </c>
      <c r="E232" s="54" t="s">
        <v>33</v>
      </c>
      <c r="F232" s="54" t="s">
        <v>19</v>
      </c>
      <c r="G232" s="55" t="s">
        <v>448</v>
      </c>
      <c r="H232" s="56" t="s">
        <v>644</v>
      </c>
      <c r="I232" s="56" t="s">
        <v>468</v>
      </c>
      <c r="J232" s="9" t="str">
        <f t="shared" si="2"/>
        <v>Mitchell</v>
      </c>
    </row>
    <row r="233">
      <c r="A233" s="14" t="s">
        <v>447</v>
      </c>
      <c r="B233" s="14" t="str">
        <f t="shared" si="1"/>
        <v>Natalie Mitchell</v>
      </c>
      <c r="C233" s="54">
        <v>1842.0</v>
      </c>
      <c r="D233" s="10">
        <v>70.0</v>
      </c>
      <c r="E233" s="54" t="s">
        <v>33</v>
      </c>
      <c r="F233" s="54" t="s">
        <v>19</v>
      </c>
      <c r="G233" s="55" t="s">
        <v>448</v>
      </c>
      <c r="H233" s="56" t="s">
        <v>644</v>
      </c>
      <c r="I233" s="56" t="s">
        <v>645</v>
      </c>
      <c r="J233" s="9" t="str">
        <f t="shared" si="2"/>
        <v>Mitchell</v>
      </c>
    </row>
    <row r="234">
      <c r="A234" s="14" t="s">
        <v>447</v>
      </c>
      <c r="B234" s="14" t="str">
        <f t="shared" si="1"/>
        <v>Ada Montgomery</v>
      </c>
      <c r="C234" s="54">
        <v>1896.0</v>
      </c>
      <c r="D234" s="10">
        <v>16.0</v>
      </c>
      <c r="E234" s="54" t="s">
        <v>22</v>
      </c>
      <c r="F234" s="54" t="s">
        <v>19</v>
      </c>
      <c r="G234" s="55" t="s">
        <v>448</v>
      </c>
      <c r="H234" s="56" t="s">
        <v>646</v>
      </c>
      <c r="I234" s="56" t="s">
        <v>598</v>
      </c>
      <c r="J234" s="9" t="str">
        <f t="shared" si="2"/>
        <v>Montgomery</v>
      </c>
    </row>
    <row r="235">
      <c r="A235" s="14" t="s">
        <v>447</v>
      </c>
      <c r="B235" s="14" t="str">
        <f t="shared" si="1"/>
        <v>George Montgomery</v>
      </c>
      <c r="C235" s="54">
        <v>1884.0</v>
      </c>
      <c r="D235" s="10">
        <v>28.0</v>
      </c>
      <c r="E235" s="54" t="s">
        <v>12</v>
      </c>
      <c r="F235" s="54" t="s">
        <v>13</v>
      </c>
      <c r="G235" s="55" t="s">
        <v>448</v>
      </c>
      <c r="H235" s="56" t="s">
        <v>646</v>
      </c>
      <c r="I235" s="56" t="s">
        <v>616</v>
      </c>
      <c r="J235" s="9" t="str">
        <f t="shared" si="2"/>
        <v>Montgomery</v>
      </c>
    </row>
    <row r="236">
      <c r="A236" s="14" t="s">
        <v>447</v>
      </c>
      <c r="B236" s="14" t="str">
        <f t="shared" si="1"/>
        <v>James Montgomery</v>
      </c>
      <c r="C236" s="54">
        <v>1878.0</v>
      </c>
      <c r="D236" s="10">
        <v>34.0</v>
      </c>
      <c r="E236" s="54" t="s">
        <v>22</v>
      </c>
      <c r="F236" s="54" t="s">
        <v>19</v>
      </c>
      <c r="G236" s="55" t="s">
        <v>448</v>
      </c>
      <c r="H236" s="56" t="s">
        <v>646</v>
      </c>
      <c r="I236" s="56" t="s">
        <v>492</v>
      </c>
      <c r="J236" s="9" t="str">
        <f t="shared" si="2"/>
        <v>Montgomery</v>
      </c>
    </row>
    <row r="237">
      <c r="A237" s="14" t="s">
        <v>447</v>
      </c>
      <c r="B237" s="14" t="str">
        <f t="shared" si="1"/>
        <v>Rebecca Montgomery</v>
      </c>
      <c r="C237" s="54">
        <v>1841.0</v>
      </c>
      <c r="D237" s="10">
        <v>71.0</v>
      </c>
      <c r="E237" s="54" t="s">
        <v>22</v>
      </c>
      <c r="F237" s="54" t="s">
        <v>19</v>
      </c>
      <c r="G237" s="55" t="s">
        <v>448</v>
      </c>
      <c r="H237" s="56" t="s">
        <v>646</v>
      </c>
      <c r="I237" s="56" t="s">
        <v>647</v>
      </c>
      <c r="J237" s="9" t="str">
        <f t="shared" si="2"/>
        <v>Montgomery</v>
      </c>
    </row>
    <row r="238">
      <c r="A238" s="14" t="s">
        <v>447</v>
      </c>
      <c r="B238" s="14" t="str">
        <f t="shared" si="1"/>
        <v>Ryan Montgomery</v>
      </c>
      <c r="C238" s="54">
        <v>1873.0</v>
      </c>
      <c r="D238" s="10">
        <v>39.0</v>
      </c>
      <c r="E238" s="54" t="s">
        <v>33</v>
      </c>
      <c r="F238" s="54" t="s">
        <v>13</v>
      </c>
      <c r="G238" s="55" t="s">
        <v>448</v>
      </c>
      <c r="H238" s="56" t="s">
        <v>646</v>
      </c>
      <c r="I238" s="56" t="s">
        <v>451</v>
      </c>
      <c r="J238" s="9" t="str">
        <f t="shared" si="2"/>
        <v>Montgomery</v>
      </c>
    </row>
    <row r="239">
      <c r="A239" s="14" t="s">
        <v>447</v>
      </c>
      <c r="B239" s="14" t="str">
        <f t="shared" si="1"/>
        <v>Gianna Moore</v>
      </c>
      <c r="C239" s="54">
        <v>1851.0</v>
      </c>
      <c r="D239" s="10">
        <v>61.0</v>
      </c>
      <c r="E239" s="54" t="s">
        <v>22</v>
      </c>
      <c r="F239" s="54" t="s">
        <v>19</v>
      </c>
      <c r="G239" s="55" t="s">
        <v>448</v>
      </c>
      <c r="H239" s="56" t="s">
        <v>648</v>
      </c>
      <c r="I239" s="56" t="s">
        <v>457</v>
      </c>
      <c r="J239" s="9" t="str">
        <f t="shared" si="2"/>
        <v>Moore</v>
      </c>
    </row>
    <row r="240">
      <c r="A240" s="14" t="s">
        <v>447</v>
      </c>
      <c r="B240" s="14" t="str">
        <f t="shared" si="1"/>
        <v>Alan Morgan</v>
      </c>
      <c r="C240" s="54">
        <v>1876.0</v>
      </c>
      <c r="D240" s="10">
        <v>36.0</v>
      </c>
      <c r="E240" s="54" t="s">
        <v>12</v>
      </c>
      <c r="F240" s="54" t="s">
        <v>13</v>
      </c>
      <c r="G240" s="55" t="s">
        <v>448</v>
      </c>
      <c r="H240" s="56" t="s">
        <v>649</v>
      </c>
      <c r="I240" s="56" t="s">
        <v>650</v>
      </c>
      <c r="J240" s="9" t="str">
        <f t="shared" si="2"/>
        <v>Morgan</v>
      </c>
    </row>
    <row r="241">
      <c r="A241" s="14" t="s">
        <v>447</v>
      </c>
      <c r="B241" s="14" t="str">
        <f t="shared" si="1"/>
        <v>Carl Morgan</v>
      </c>
      <c r="C241" s="54">
        <v>1848.0</v>
      </c>
      <c r="D241" s="10">
        <v>64.0</v>
      </c>
      <c r="E241" s="54" t="s">
        <v>12</v>
      </c>
      <c r="F241" s="54" t="s">
        <v>19</v>
      </c>
      <c r="G241" s="55" t="s">
        <v>448</v>
      </c>
      <c r="H241" s="56" t="s">
        <v>649</v>
      </c>
      <c r="I241" s="56" t="s">
        <v>514</v>
      </c>
      <c r="J241" s="9" t="str">
        <f t="shared" si="2"/>
        <v>Morgan</v>
      </c>
    </row>
    <row r="242">
      <c r="A242" s="14" t="s">
        <v>447</v>
      </c>
      <c r="B242" s="14" t="str">
        <f t="shared" si="1"/>
        <v>Isabella Morgan</v>
      </c>
      <c r="C242" s="54">
        <v>1901.0</v>
      </c>
      <c r="D242" s="10">
        <v>11.0</v>
      </c>
      <c r="E242" s="54" t="s">
        <v>12</v>
      </c>
      <c r="F242" s="54" t="s">
        <v>13</v>
      </c>
      <c r="G242" s="55" t="s">
        <v>448</v>
      </c>
      <c r="H242" s="56" t="s">
        <v>649</v>
      </c>
      <c r="I242" s="56" t="s">
        <v>521</v>
      </c>
      <c r="J242" s="9" t="str">
        <f t="shared" si="2"/>
        <v>Morgan</v>
      </c>
    </row>
    <row r="243">
      <c r="A243" s="14" t="s">
        <v>447</v>
      </c>
      <c r="B243" s="14" t="str">
        <f t="shared" si="1"/>
        <v>Jack Morgan</v>
      </c>
      <c r="C243" s="54">
        <v>1842.0</v>
      </c>
      <c r="D243" s="10">
        <v>70.0</v>
      </c>
      <c r="E243" s="54" t="s">
        <v>18</v>
      </c>
      <c r="F243" s="54" t="s">
        <v>13</v>
      </c>
      <c r="G243" s="55" t="s">
        <v>448</v>
      </c>
      <c r="H243" s="56" t="s">
        <v>649</v>
      </c>
      <c r="I243" s="56" t="s">
        <v>555</v>
      </c>
      <c r="J243" s="9" t="str">
        <f t="shared" si="2"/>
        <v>Morgan</v>
      </c>
    </row>
    <row r="244">
      <c r="A244" s="14" t="s">
        <v>447</v>
      </c>
      <c r="B244" s="14" t="str">
        <f t="shared" si="1"/>
        <v>Paul Morgan</v>
      </c>
      <c r="C244" s="54">
        <v>1870.0</v>
      </c>
      <c r="D244" s="59">
        <v>42.0</v>
      </c>
      <c r="E244" s="54" t="s">
        <v>33</v>
      </c>
      <c r="F244" s="54" t="s">
        <v>13</v>
      </c>
      <c r="G244" s="55" t="s">
        <v>448</v>
      </c>
      <c r="H244" s="56" t="s">
        <v>649</v>
      </c>
      <c r="I244" s="56" t="s">
        <v>651</v>
      </c>
      <c r="J244" s="9" t="str">
        <f t="shared" si="2"/>
        <v>Morgan</v>
      </c>
    </row>
    <row r="245">
      <c r="A245" s="14" t="s">
        <v>447</v>
      </c>
      <c r="B245" s="14" t="str">
        <f t="shared" si="1"/>
        <v>Adison Morris</v>
      </c>
      <c r="C245" s="54">
        <v>1893.0</v>
      </c>
      <c r="D245" s="10">
        <v>19.0</v>
      </c>
      <c r="E245" s="54" t="s">
        <v>22</v>
      </c>
      <c r="F245" s="54" t="s">
        <v>13</v>
      </c>
      <c r="G245" s="55" t="s">
        <v>448</v>
      </c>
      <c r="H245" s="56" t="s">
        <v>652</v>
      </c>
      <c r="I245" s="56" t="s">
        <v>605</v>
      </c>
      <c r="J245" s="9" t="str">
        <f t="shared" si="2"/>
        <v>Morris</v>
      </c>
    </row>
    <row r="246">
      <c r="A246" s="14" t="s">
        <v>447</v>
      </c>
      <c r="B246" s="14" t="str">
        <f t="shared" si="1"/>
        <v>Jared Morris</v>
      </c>
      <c r="C246" s="54">
        <v>1877.0</v>
      </c>
      <c r="D246" s="10">
        <v>35.0</v>
      </c>
      <c r="E246" s="54" t="s">
        <v>22</v>
      </c>
      <c r="F246" s="54" t="s">
        <v>13</v>
      </c>
      <c r="G246" s="55" t="s">
        <v>448</v>
      </c>
      <c r="H246" s="56" t="s">
        <v>652</v>
      </c>
      <c r="I246" s="56" t="s">
        <v>533</v>
      </c>
      <c r="J246" s="9" t="str">
        <f t="shared" si="2"/>
        <v>Morris</v>
      </c>
    </row>
    <row r="247">
      <c r="A247" s="14" t="s">
        <v>447</v>
      </c>
      <c r="B247" s="14" t="str">
        <f t="shared" si="1"/>
        <v>Vanessa Morris</v>
      </c>
      <c r="C247" s="54">
        <v>1893.0</v>
      </c>
      <c r="D247" s="10">
        <v>19.0</v>
      </c>
      <c r="E247" s="54" t="s">
        <v>22</v>
      </c>
      <c r="F247" s="54" t="s">
        <v>19</v>
      </c>
      <c r="G247" s="55" t="s">
        <v>448</v>
      </c>
      <c r="H247" s="56" t="s">
        <v>652</v>
      </c>
      <c r="I247" s="56" t="s">
        <v>614</v>
      </c>
      <c r="J247" s="9" t="str">
        <f t="shared" si="2"/>
        <v>Morris</v>
      </c>
    </row>
    <row r="248">
      <c r="A248" s="14" t="s">
        <v>447</v>
      </c>
      <c r="B248" s="14" t="str">
        <f t="shared" si="1"/>
        <v>Ashton Morrison</v>
      </c>
      <c r="C248" s="54">
        <v>1861.0</v>
      </c>
      <c r="D248" s="10">
        <v>51.0</v>
      </c>
      <c r="E248" s="54" t="s">
        <v>22</v>
      </c>
      <c r="F248" s="54" t="s">
        <v>19</v>
      </c>
      <c r="G248" s="55" t="s">
        <v>448</v>
      </c>
      <c r="H248" s="56" t="s">
        <v>653</v>
      </c>
      <c r="I248" s="56" t="s">
        <v>625</v>
      </c>
      <c r="J248" s="9" t="str">
        <f t="shared" si="2"/>
        <v>Morrison</v>
      </c>
    </row>
    <row r="249">
      <c r="A249" s="14" t="s">
        <v>447</v>
      </c>
      <c r="B249" s="14" t="str">
        <f t="shared" si="1"/>
        <v>Victor Morrison</v>
      </c>
      <c r="C249" s="54">
        <v>1858.0</v>
      </c>
      <c r="D249" s="10">
        <v>54.0</v>
      </c>
      <c r="E249" s="54" t="s">
        <v>33</v>
      </c>
      <c r="F249" s="54" t="s">
        <v>19</v>
      </c>
      <c r="G249" s="55" t="s">
        <v>448</v>
      </c>
      <c r="H249" s="56" t="s">
        <v>653</v>
      </c>
      <c r="I249" s="56" t="s">
        <v>588</v>
      </c>
      <c r="J249" s="9" t="str">
        <f t="shared" si="2"/>
        <v>Morrison</v>
      </c>
    </row>
    <row r="250">
      <c r="A250" s="14" t="s">
        <v>447</v>
      </c>
      <c r="B250" s="14" t="str">
        <f t="shared" si="1"/>
        <v>Adison Murphy</v>
      </c>
      <c r="C250" s="54">
        <v>1883.0</v>
      </c>
      <c r="D250" s="10">
        <v>29.0</v>
      </c>
      <c r="E250" s="54" t="s">
        <v>33</v>
      </c>
      <c r="F250" s="54" t="s">
        <v>13</v>
      </c>
      <c r="G250" s="55" t="s">
        <v>448</v>
      </c>
      <c r="H250" s="56" t="s">
        <v>654</v>
      </c>
      <c r="I250" s="56" t="s">
        <v>605</v>
      </c>
      <c r="J250" s="9" t="str">
        <f t="shared" si="2"/>
        <v>Murphy</v>
      </c>
    </row>
    <row r="251">
      <c r="A251" s="14" t="s">
        <v>447</v>
      </c>
      <c r="B251" s="14" t="str">
        <f t="shared" si="1"/>
        <v>Darcy Murphy</v>
      </c>
      <c r="C251" s="54">
        <v>1902.0</v>
      </c>
      <c r="D251" s="10">
        <v>10.0</v>
      </c>
      <c r="E251" s="54" t="s">
        <v>33</v>
      </c>
      <c r="F251" s="54" t="s">
        <v>19</v>
      </c>
      <c r="G251" s="55" t="s">
        <v>448</v>
      </c>
      <c r="H251" s="56" t="s">
        <v>654</v>
      </c>
      <c r="I251" s="56" t="s">
        <v>550</v>
      </c>
      <c r="J251" s="9" t="str">
        <f t="shared" si="2"/>
        <v>Murphy</v>
      </c>
    </row>
    <row r="252">
      <c r="A252" s="14" t="s">
        <v>447</v>
      </c>
      <c r="B252" s="14" t="str">
        <f t="shared" si="1"/>
        <v>Eric Murphy</v>
      </c>
      <c r="C252" s="54">
        <v>1851.0</v>
      </c>
      <c r="D252" s="10">
        <v>61.0</v>
      </c>
      <c r="E252" s="54" t="s">
        <v>33</v>
      </c>
      <c r="F252" s="54" t="s">
        <v>13</v>
      </c>
      <c r="G252" s="55" t="s">
        <v>448</v>
      </c>
      <c r="H252" s="56" t="s">
        <v>654</v>
      </c>
      <c r="I252" s="56" t="s">
        <v>509</v>
      </c>
      <c r="J252" s="9" t="str">
        <f t="shared" si="2"/>
        <v>Murphy</v>
      </c>
    </row>
    <row r="253">
      <c r="A253" s="14" t="s">
        <v>447</v>
      </c>
      <c r="B253" s="14" t="str">
        <f t="shared" si="1"/>
        <v>Henry Murphy</v>
      </c>
      <c r="C253" s="54">
        <v>1893.0</v>
      </c>
      <c r="D253" s="10">
        <v>19.0</v>
      </c>
      <c r="E253" s="54" t="s">
        <v>22</v>
      </c>
      <c r="F253" s="54" t="s">
        <v>19</v>
      </c>
      <c r="G253" s="55" t="s">
        <v>448</v>
      </c>
      <c r="H253" s="56" t="s">
        <v>654</v>
      </c>
      <c r="I253" s="56" t="s">
        <v>655</v>
      </c>
      <c r="J253" s="9" t="str">
        <f t="shared" si="2"/>
        <v>Murphy</v>
      </c>
    </row>
    <row r="254">
      <c r="A254" s="14" t="s">
        <v>447</v>
      </c>
      <c r="B254" s="14" t="str">
        <f t="shared" si="1"/>
        <v>Jenna Murphy</v>
      </c>
      <c r="C254" s="54">
        <v>1894.0</v>
      </c>
      <c r="D254" s="10">
        <v>18.0</v>
      </c>
      <c r="E254" s="54" t="s">
        <v>22</v>
      </c>
      <c r="F254" s="54" t="s">
        <v>19</v>
      </c>
      <c r="G254" s="55" t="s">
        <v>448</v>
      </c>
      <c r="H254" s="56" t="s">
        <v>654</v>
      </c>
      <c r="I254" s="56" t="s">
        <v>656</v>
      </c>
      <c r="J254" s="9" t="str">
        <f t="shared" si="2"/>
        <v>Murphy</v>
      </c>
    </row>
    <row r="255">
      <c r="A255" s="14" t="s">
        <v>447</v>
      </c>
      <c r="B255" s="14" t="str">
        <f t="shared" si="1"/>
        <v>Myra Murphy</v>
      </c>
      <c r="C255" s="54">
        <v>1874.0</v>
      </c>
      <c r="D255" s="10">
        <v>38.0</v>
      </c>
      <c r="E255" s="54" t="s">
        <v>22</v>
      </c>
      <c r="F255" s="54" t="s">
        <v>19</v>
      </c>
      <c r="G255" s="55" t="s">
        <v>448</v>
      </c>
      <c r="H255" s="56" t="s">
        <v>654</v>
      </c>
      <c r="I255" s="56" t="s">
        <v>657</v>
      </c>
      <c r="J255" s="9" t="str">
        <f t="shared" si="2"/>
        <v>Murphy</v>
      </c>
    </row>
    <row r="256">
      <c r="A256" s="14" t="s">
        <v>447</v>
      </c>
      <c r="B256" s="14" t="str">
        <f t="shared" si="1"/>
        <v>Kate Murray</v>
      </c>
      <c r="C256" s="54">
        <v>1896.0</v>
      </c>
      <c r="D256" s="10">
        <v>16.0</v>
      </c>
      <c r="E256" s="54" t="s">
        <v>33</v>
      </c>
      <c r="F256" s="54" t="s">
        <v>19</v>
      </c>
      <c r="G256" s="55" t="s">
        <v>448</v>
      </c>
      <c r="H256" s="56" t="s">
        <v>658</v>
      </c>
      <c r="I256" s="56" t="s">
        <v>641</v>
      </c>
      <c r="J256" s="9" t="str">
        <f t="shared" si="2"/>
        <v>Murray</v>
      </c>
    </row>
    <row r="257">
      <c r="A257" s="14" t="s">
        <v>447</v>
      </c>
      <c r="B257" s="14" t="str">
        <f t="shared" si="1"/>
        <v>Natalie Murray</v>
      </c>
      <c r="C257" s="54">
        <v>1892.0</v>
      </c>
      <c r="D257" s="10">
        <v>20.0</v>
      </c>
      <c r="E257" s="54" t="s">
        <v>33</v>
      </c>
      <c r="F257" s="54" t="s">
        <v>19</v>
      </c>
      <c r="G257" s="55" t="s">
        <v>448</v>
      </c>
      <c r="H257" s="56" t="s">
        <v>658</v>
      </c>
      <c r="I257" s="56" t="s">
        <v>645</v>
      </c>
      <c r="J257" s="9" t="str">
        <f t="shared" si="2"/>
        <v>Murray</v>
      </c>
    </row>
    <row r="258">
      <c r="A258" s="14" t="s">
        <v>447</v>
      </c>
      <c r="B258" s="14" t="str">
        <f t="shared" si="1"/>
        <v>Rubie Murray</v>
      </c>
      <c r="C258" s="54">
        <v>1851.0</v>
      </c>
      <c r="D258" s="10">
        <v>61.0</v>
      </c>
      <c r="E258" s="54" t="s">
        <v>22</v>
      </c>
      <c r="F258" s="54" t="s">
        <v>19</v>
      </c>
      <c r="G258" s="55" t="s">
        <v>448</v>
      </c>
      <c r="H258" s="56" t="s">
        <v>658</v>
      </c>
      <c r="I258" s="56" t="s">
        <v>484</v>
      </c>
      <c r="J258" s="9" t="str">
        <f t="shared" si="2"/>
        <v>Murray</v>
      </c>
    </row>
    <row r="259">
      <c r="A259" s="14" t="s">
        <v>447</v>
      </c>
      <c r="B259" s="14" t="str">
        <f t="shared" si="1"/>
        <v>Sabrina Murray</v>
      </c>
      <c r="C259" s="54">
        <v>1863.0</v>
      </c>
      <c r="D259" s="10">
        <v>49.0</v>
      </c>
      <c r="E259" s="54" t="s">
        <v>18</v>
      </c>
      <c r="F259" s="54" t="s">
        <v>13</v>
      </c>
      <c r="G259" s="55" t="s">
        <v>448</v>
      </c>
      <c r="H259" s="56" t="s">
        <v>658</v>
      </c>
      <c r="I259" s="56" t="s">
        <v>474</v>
      </c>
      <c r="J259" s="9" t="str">
        <f t="shared" si="2"/>
        <v>Murray</v>
      </c>
    </row>
    <row r="260">
      <c r="A260" s="14" t="s">
        <v>447</v>
      </c>
      <c r="B260" s="14" t="str">
        <f t="shared" si="1"/>
        <v>Alexia Myers</v>
      </c>
      <c r="C260" s="54">
        <v>1883.0</v>
      </c>
      <c r="D260" s="10">
        <v>29.0</v>
      </c>
      <c r="E260" s="54" t="s">
        <v>22</v>
      </c>
      <c r="F260" s="54" t="s">
        <v>19</v>
      </c>
      <c r="G260" s="55" t="s">
        <v>448</v>
      </c>
      <c r="H260" s="56" t="s">
        <v>659</v>
      </c>
      <c r="I260" s="56" t="s">
        <v>476</v>
      </c>
      <c r="J260" s="9" t="str">
        <f t="shared" si="2"/>
        <v>Myers</v>
      </c>
    </row>
    <row r="261">
      <c r="A261" s="14" t="s">
        <v>447</v>
      </c>
      <c r="B261" s="14" t="str">
        <f t="shared" si="1"/>
        <v>Alford Myers</v>
      </c>
      <c r="C261" s="54">
        <v>1845.0</v>
      </c>
      <c r="D261" s="10">
        <v>67.0</v>
      </c>
      <c r="E261" s="54" t="s">
        <v>22</v>
      </c>
      <c r="F261" s="54" t="s">
        <v>19</v>
      </c>
      <c r="G261" s="55" t="s">
        <v>448</v>
      </c>
      <c r="H261" s="56" t="s">
        <v>659</v>
      </c>
      <c r="I261" s="56" t="s">
        <v>660</v>
      </c>
      <c r="J261" s="9" t="str">
        <f t="shared" si="2"/>
        <v>Myers</v>
      </c>
    </row>
    <row r="262">
      <c r="A262" s="14" t="s">
        <v>447</v>
      </c>
      <c r="B262" s="14" t="str">
        <f t="shared" si="1"/>
        <v>Jordan Myers</v>
      </c>
      <c r="C262" s="54">
        <v>1853.0</v>
      </c>
      <c r="D262" s="10">
        <v>59.0</v>
      </c>
      <c r="E262" s="54" t="s">
        <v>22</v>
      </c>
      <c r="F262" s="54" t="s">
        <v>19</v>
      </c>
      <c r="G262" s="55" t="s">
        <v>448</v>
      </c>
      <c r="H262" s="56" t="s">
        <v>659</v>
      </c>
      <c r="I262" s="56" t="s">
        <v>534</v>
      </c>
      <c r="J262" s="9" t="str">
        <f t="shared" si="2"/>
        <v>Myers</v>
      </c>
    </row>
    <row r="263">
      <c r="A263" s="14" t="s">
        <v>447</v>
      </c>
      <c r="B263" s="14" t="str">
        <f t="shared" si="1"/>
        <v>Preston Myers</v>
      </c>
      <c r="C263" s="54">
        <v>1874.0</v>
      </c>
      <c r="D263" s="10">
        <v>38.0</v>
      </c>
      <c r="E263" s="54" t="s">
        <v>12</v>
      </c>
      <c r="F263" s="54" t="s">
        <v>19</v>
      </c>
      <c r="G263" s="55" t="s">
        <v>448</v>
      </c>
      <c r="H263" s="56" t="s">
        <v>659</v>
      </c>
      <c r="I263" s="56" t="s">
        <v>540</v>
      </c>
      <c r="J263" s="9" t="str">
        <f t="shared" si="2"/>
        <v>Myers</v>
      </c>
    </row>
    <row r="264">
      <c r="A264" s="14" t="s">
        <v>447</v>
      </c>
      <c r="B264" s="14" t="str">
        <f t="shared" si="1"/>
        <v>Victor Myers</v>
      </c>
      <c r="C264" s="54">
        <v>1890.0</v>
      </c>
      <c r="D264" s="10">
        <v>22.0</v>
      </c>
      <c r="E264" s="54" t="s">
        <v>22</v>
      </c>
      <c r="F264" s="54" t="s">
        <v>19</v>
      </c>
      <c r="G264" s="55" t="s">
        <v>448</v>
      </c>
      <c r="H264" s="56" t="s">
        <v>659</v>
      </c>
      <c r="I264" s="56" t="s">
        <v>588</v>
      </c>
      <c r="J264" s="9" t="str">
        <f t="shared" si="2"/>
        <v>Myers</v>
      </c>
    </row>
    <row r="265">
      <c r="A265" s="14" t="s">
        <v>447</v>
      </c>
      <c r="B265" s="14" t="str">
        <f t="shared" si="1"/>
        <v>Adison Nelson</v>
      </c>
      <c r="C265" s="54">
        <v>1889.0</v>
      </c>
      <c r="D265" s="10">
        <v>23.0</v>
      </c>
      <c r="E265" s="54" t="s">
        <v>33</v>
      </c>
      <c r="F265" s="54" t="s">
        <v>19</v>
      </c>
      <c r="G265" s="55" t="s">
        <v>448</v>
      </c>
      <c r="H265" s="56" t="s">
        <v>661</v>
      </c>
      <c r="I265" s="56" t="s">
        <v>605</v>
      </c>
      <c r="J265" s="9" t="str">
        <f t="shared" si="2"/>
        <v>Nelson</v>
      </c>
    </row>
    <row r="266">
      <c r="A266" s="14" t="s">
        <v>447</v>
      </c>
      <c r="B266" s="14" t="str">
        <f t="shared" si="1"/>
        <v>Amelia Nelson</v>
      </c>
      <c r="C266" s="54">
        <v>1848.0</v>
      </c>
      <c r="D266" s="10">
        <v>64.0</v>
      </c>
      <c r="E266" s="54" t="s">
        <v>33</v>
      </c>
      <c r="F266" s="54" t="s">
        <v>13</v>
      </c>
      <c r="G266" s="55" t="s">
        <v>448</v>
      </c>
      <c r="H266" s="56" t="s">
        <v>661</v>
      </c>
      <c r="I266" s="56" t="s">
        <v>465</v>
      </c>
      <c r="J266" s="9" t="str">
        <f t="shared" si="2"/>
        <v>Nelson</v>
      </c>
    </row>
    <row r="267">
      <c r="A267" s="14" t="s">
        <v>447</v>
      </c>
      <c r="B267" s="14" t="str">
        <f t="shared" si="1"/>
        <v>Brooke Nelson</v>
      </c>
      <c r="C267" s="54">
        <v>1873.0</v>
      </c>
      <c r="D267" s="10">
        <v>39.0</v>
      </c>
      <c r="E267" s="54" t="s">
        <v>33</v>
      </c>
      <c r="F267" s="54" t="s">
        <v>19</v>
      </c>
      <c r="G267" s="55" t="s">
        <v>448</v>
      </c>
      <c r="H267" s="56" t="s">
        <v>661</v>
      </c>
      <c r="I267" s="56" t="s">
        <v>662</v>
      </c>
      <c r="J267" s="9" t="str">
        <f t="shared" si="2"/>
        <v>Nelson</v>
      </c>
    </row>
    <row r="268">
      <c r="A268" s="14" t="s">
        <v>447</v>
      </c>
      <c r="B268" s="14" t="str">
        <f t="shared" si="1"/>
        <v>Chelsea Nelson</v>
      </c>
      <c r="C268" s="54">
        <v>1857.0</v>
      </c>
      <c r="D268" s="10">
        <v>55.0</v>
      </c>
      <c r="E268" s="54" t="s">
        <v>33</v>
      </c>
      <c r="F268" s="54" t="s">
        <v>13</v>
      </c>
      <c r="G268" s="55" t="s">
        <v>448</v>
      </c>
      <c r="H268" s="56" t="s">
        <v>661</v>
      </c>
      <c r="I268" s="56" t="s">
        <v>585</v>
      </c>
      <c r="J268" s="9" t="str">
        <f t="shared" si="2"/>
        <v>Nelson</v>
      </c>
    </row>
    <row r="269">
      <c r="A269" s="14" t="s">
        <v>447</v>
      </c>
      <c r="B269" s="14" t="str">
        <f t="shared" si="1"/>
        <v>Kimberly Nelson</v>
      </c>
      <c r="C269" s="54">
        <v>1846.0</v>
      </c>
      <c r="D269" s="10">
        <v>66.0</v>
      </c>
      <c r="E269" s="54" t="s">
        <v>22</v>
      </c>
      <c r="F269" s="54" t="s">
        <v>19</v>
      </c>
      <c r="G269" s="55" t="s">
        <v>448</v>
      </c>
      <c r="H269" s="56" t="s">
        <v>661</v>
      </c>
      <c r="I269" s="56" t="s">
        <v>478</v>
      </c>
      <c r="J269" s="9" t="str">
        <f t="shared" si="2"/>
        <v>Nelson</v>
      </c>
    </row>
    <row r="270">
      <c r="A270" s="14" t="s">
        <v>447</v>
      </c>
      <c r="B270" s="14" t="str">
        <f t="shared" si="1"/>
        <v>Agata Owens</v>
      </c>
      <c r="C270" s="54">
        <v>1891.0</v>
      </c>
      <c r="D270" s="10">
        <v>21.0</v>
      </c>
      <c r="E270" s="54" t="s">
        <v>18</v>
      </c>
      <c r="F270" s="54" t="s">
        <v>19</v>
      </c>
      <c r="G270" s="55" t="s">
        <v>448</v>
      </c>
      <c r="H270" s="56" t="s">
        <v>663</v>
      </c>
      <c r="I270" s="56" t="s">
        <v>664</v>
      </c>
      <c r="J270" s="9" t="str">
        <f t="shared" si="2"/>
        <v>Owens</v>
      </c>
    </row>
    <row r="271">
      <c r="A271" s="14" t="s">
        <v>447</v>
      </c>
      <c r="B271" s="14" t="str">
        <f t="shared" si="1"/>
        <v>George Owens</v>
      </c>
      <c r="C271" s="54">
        <v>1895.0</v>
      </c>
      <c r="D271" s="10">
        <v>17.0</v>
      </c>
      <c r="E271" s="54" t="s">
        <v>18</v>
      </c>
      <c r="F271" s="54" t="s">
        <v>19</v>
      </c>
      <c r="G271" s="55" t="s">
        <v>448</v>
      </c>
      <c r="H271" s="56" t="s">
        <v>663</v>
      </c>
      <c r="I271" s="56" t="s">
        <v>616</v>
      </c>
      <c r="J271" s="9" t="str">
        <f t="shared" si="2"/>
        <v>Owens</v>
      </c>
    </row>
    <row r="272">
      <c r="A272" s="14" t="s">
        <v>447</v>
      </c>
      <c r="B272" s="14" t="str">
        <f t="shared" si="1"/>
        <v>Walter Owens</v>
      </c>
      <c r="C272" s="54">
        <v>1880.0</v>
      </c>
      <c r="D272" s="10">
        <v>32.0</v>
      </c>
      <c r="E272" s="54" t="s">
        <v>12</v>
      </c>
      <c r="F272" s="54" t="s">
        <v>13</v>
      </c>
      <c r="G272" s="55" t="s">
        <v>448</v>
      </c>
      <c r="H272" s="56" t="s">
        <v>663</v>
      </c>
      <c r="I272" s="56" t="s">
        <v>469</v>
      </c>
      <c r="J272" s="9" t="str">
        <f t="shared" si="2"/>
        <v>Owens</v>
      </c>
    </row>
    <row r="273">
      <c r="A273" s="14" t="s">
        <v>447</v>
      </c>
      <c r="B273" s="14" t="str">
        <f t="shared" si="1"/>
        <v>Abraham Parker</v>
      </c>
      <c r="C273" s="54">
        <v>1905.0</v>
      </c>
      <c r="D273" s="10">
        <v>7.0</v>
      </c>
      <c r="E273" s="54" t="s">
        <v>12</v>
      </c>
      <c r="F273" s="54" t="s">
        <v>13</v>
      </c>
      <c r="G273" s="55" t="s">
        <v>448</v>
      </c>
      <c r="H273" s="56" t="s">
        <v>665</v>
      </c>
      <c r="I273" s="56" t="s">
        <v>594</v>
      </c>
      <c r="J273" s="9" t="str">
        <f t="shared" si="2"/>
        <v>Parker</v>
      </c>
    </row>
    <row r="274">
      <c r="A274" s="14" t="s">
        <v>447</v>
      </c>
      <c r="B274" s="14" t="str">
        <f t="shared" si="1"/>
        <v>Rosie Parker</v>
      </c>
      <c r="C274" s="54">
        <v>1887.0</v>
      </c>
      <c r="D274" s="10">
        <v>25.0</v>
      </c>
      <c r="E274" s="54" t="s">
        <v>18</v>
      </c>
      <c r="F274" s="54" t="s">
        <v>19</v>
      </c>
      <c r="G274" s="55" t="s">
        <v>448</v>
      </c>
      <c r="H274" s="56" t="s">
        <v>665</v>
      </c>
      <c r="I274" s="56" t="s">
        <v>666</v>
      </c>
      <c r="J274" s="9" t="str">
        <f t="shared" si="2"/>
        <v>Parker</v>
      </c>
    </row>
    <row r="275">
      <c r="A275" s="14" t="s">
        <v>447</v>
      </c>
      <c r="B275" s="14" t="str">
        <f t="shared" si="1"/>
        <v>Bruce Payne</v>
      </c>
      <c r="C275" s="54">
        <v>1888.0</v>
      </c>
      <c r="D275" s="10">
        <v>24.0</v>
      </c>
      <c r="E275" s="54" t="s">
        <v>22</v>
      </c>
      <c r="F275" s="54" t="s">
        <v>19</v>
      </c>
      <c r="G275" s="55" t="s">
        <v>448</v>
      </c>
      <c r="H275" s="56" t="s">
        <v>667</v>
      </c>
      <c r="I275" s="56" t="s">
        <v>668</v>
      </c>
      <c r="J275" s="9" t="str">
        <f t="shared" si="2"/>
        <v>Payne</v>
      </c>
    </row>
    <row r="276">
      <c r="A276" s="14" t="s">
        <v>447</v>
      </c>
      <c r="B276" s="14" t="str">
        <f t="shared" si="1"/>
        <v>Jacob Payne</v>
      </c>
      <c r="C276" s="54">
        <v>1894.0</v>
      </c>
      <c r="D276" s="10">
        <v>18.0</v>
      </c>
      <c r="E276" s="54" t="s">
        <v>33</v>
      </c>
      <c r="F276" s="54" t="s">
        <v>13</v>
      </c>
      <c r="G276" s="55" t="s">
        <v>448</v>
      </c>
      <c r="H276" s="56" t="s">
        <v>667</v>
      </c>
      <c r="I276" s="56" t="s">
        <v>460</v>
      </c>
      <c r="J276" s="9" t="str">
        <f t="shared" si="2"/>
        <v>Payne</v>
      </c>
    </row>
    <row r="277">
      <c r="A277" s="14" t="s">
        <v>447</v>
      </c>
      <c r="B277" s="14" t="str">
        <f t="shared" si="1"/>
        <v>Jasmine Payne</v>
      </c>
      <c r="C277" s="54">
        <v>1871.0</v>
      </c>
      <c r="D277" s="10">
        <v>41.0</v>
      </c>
      <c r="E277" s="54" t="s">
        <v>22</v>
      </c>
      <c r="F277" s="54" t="s">
        <v>13</v>
      </c>
      <c r="G277" s="55" t="s">
        <v>448</v>
      </c>
      <c r="H277" s="56" t="s">
        <v>667</v>
      </c>
      <c r="I277" s="56" t="s">
        <v>623</v>
      </c>
      <c r="J277" s="9" t="str">
        <f t="shared" si="2"/>
        <v>Payne</v>
      </c>
    </row>
    <row r="278">
      <c r="A278" s="14" t="s">
        <v>447</v>
      </c>
      <c r="B278" s="14" t="str">
        <f t="shared" si="1"/>
        <v>Ted Payne</v>
      </c>
      <c r="C278" s="54">
        <v>1866.0</v>
      </c>
      <c r="D278" s="10">
        <v>46.0</v>
      </c>
      <c r="E278" s="54" t="s">
        <v>33</v>
      </c>
      <c r="F278" s="54" t="s">
        <v>19</v>
      </c>
      <c r="G278" s="55" t="s">
        <v>448</v>
      </c>
      <c r="H278" s="56" t="s">
        <v>667</v>
      </c>
      <c r="I278" s="56" t="s">
        <v>669</v>
      </c>
      <c r="J278" s="9" t="str">
        <f t="shared" si="2"/>
        <v>Payne</v>
      </c>
    </row>
    <row r="279">
      <c r="A279" s="14" t="s">
        <v>447</v>
      </c>
      <c r="B279" s="14" t="str">
        <f t="shared" si="1"/>
        <v>Agata Perkins</v>
      </c>
      <c r="C279" s="54">
        <v>1898.0</v>
      </c>
      <c r="D279" s="10">
        <v>14.0</v>
      </c>
      <c r="E279" s="54" t="s">
        <v>12</v>
      </c>
      <c r="F279" s="54" t="s">
        <v>19</v>
      </c>
      <c r="G279" s="55" t="s">
        <v>448</v>
      </c>
      <c r="H279" s="56" t="s">
        <v>670</v>
      </c>
      <c r="I279" s="56" t="s">
        <v>664</v>
      </c>
      <c r="J279" s="9" t="str">
        <f t="shared" si="2"/>
        <v>Perkins</v>
      </c>
    </row>
    <row r="280">
      <c r="A280" s="14" t="s">
        <v>447</v>
      </c>
      <c r="B280" s="14" t="str">
        <f t="shared" si="1"/>
        <v>Andrew Perkins</v>
      </c>
      <c r="C280" s="54">
        <v>1896.0</v>
      </c>
      <c r="D280" s="10">
        <v>16.0</v>
      </c>
      <c r="E280" s="54" t="s">
        <v>33</v>
      </c>
      <c r="F280" s="54" t="s">
        <v>19</v>
      </c>
      <c r="G280" s="55" t="s">
        <v>448</v>
      </c>
      <c r="H280" s="56" t="s">
        <v>670</v>
      </c>
      <c r="I280" s="56" t="s">
        <v>631</v>
      </c>
      <c r="J280" s="9" t="str">
        <f t="shared" si="2"/>
        <v>Perkins</v>
      </c>
    </row>
    <row r="281">
      <c r="A281" s="14" t="s">
        <v>447</v>
      </c>
      <c r="B281" s="14" t="str">
        <f t="shared" si="1"/>
        <v>Edward Perkins</v>
      </c>
      <c r="C281" s="54">
        <v>1861.0</v>
      </c>
      <c r="D281" s="10">
        <v>51.0</v>
      </c>
      <c r="E281" s="54" t="s">
        <v>12</v>
      </c>
      <c r="F281" s="54" t="s">
        <v>13</v>
      </c>
      <c r="G281" s="55" t="s">
        <v>448</v>
      </c>
      <c r="H281" s="56" t="s">
        <v>670</v>
      </c>
      <c r="I281" s="56" t="s">
        <v>539</v>
      </c>
      <c r="J281" s="9" t="str">
        <f t="shared" si="2"/>
        <v>Perkins</v>
      </c>
    </row>
    <row r="282">
      <c r="A282" s="14" t="s">
        <v>447</v>
      </c>
      <c r="B282" s="14" t="str">
        <f t="shared" si="1"/>
        <v>Lucas Perkins</v>
      </c>
      <c r="C282" s="54">
        <v>1887.0</v>
      </c>
      <c r="D282" s="10">
        <v>25.0</v>
      </c>
      <c r="E282" s="54" t="s">
        <v>22</v>
      </c>
      <c r="F282" s="54" t="s">
        <v>19</v>
      </c>
      <c r="G282" s="55" t="s">
        <v>448</v>
      </c>
      <c r="H282" s="56" t="s">
        <v>670</v>
      </c>
      <c r="I282" s="56" t="s">
        <v>510</v>
      </c>
      <c r="J282" s="9" t="str">
        <f t="shared" si="2"/>
        <v>Perkins</v>
      </c>
    </row>
    <row r="283">
      <c r="A283" s="14" t="s">
        <v>447</v>
      </c>
      <c r="B283" s="14" t="str">
        <f t="shared" si="1"/>
        <v>Miranda Perkins</v>
      </c>
      <c r="C283" s="54">
        <v>1906.0</v>
      </c>
      <c r="D283" s="10">
        <v>6.0</v>
      </c>
      <c r="E283" s="54" t="s">
        <v>33</v>
      </c>
      <c r="F283" s="54" t="s">
        <v>19</v>
      </c>
      <c r="G283" s="55" t="s">
        <v>448</v>
      </c>
      <c r="H283" s="56" t="s">
        <v>670</v>
      </c>
      <c r="I283" s="56" t="s">
        <v>517</v>
      </c>
      <c r="J283" s="9" t="str">
        <f t="shared" si="2"/>
        <v>Perkins</v>
      </c>
    </row>
    <row r="284">
      <c r="A284" s="14" t="s">
        <v>447</v>
      </c>
      <c r="B284" s="14" t="str">
        <f t="shared" si="1"/>
        <v>Adrian Perry</v>
      </c>
      <c r="C284" s="54">
        <v>1876.0</v>
      </c>
      <c r="D284" s="10">
        <v>36.0</v>
      </c>
      <c r="E284" s="54" t="s">
        <v>18</v>
      </c>
      <c r="F284" s="54" t="s">
        <v>19</v>
      </c>
      <c r="G284" s="55" t="s">
        <v>448</v>
      </c>
      <c r="H284" s="56" t="s">
        <v>671</v>
      </c>
      <c r="I284" s="56" t="s">
        <v>544</v>
      </c>
      <c r="J284" s="9" t="str">
        <f t="shared" si="2"/>
        <v>Perry</v>
      </c>
    </row>
    <row r="285">
      <c r="A285" s="14" t="s">
        <v>447</v>
      </c>
      <c r="B285" s="14" t="str">
        <f t="shared" si="1"/>
        <v>Alan Perry</v>
      </c>
      <c r="C285" s="54">
        <v>1869.0</v>
      </c>
      <c r="D285" s="10">
        <v>43.0</v>
      </c>
      <c r="E285" s="54" t="s">
        <v>22</v>
      </c>
      <c r="F285" s="54" t="s">
        <v>19</v>
      </c>
      <c r="G285" s="55" t="s">
        <v>448</v>
      </c>
      <c r="H285" s="56" t="s">
        <v>671</v>
      </c>
      <c r="I285" s="56" t="s">
        <v>650</v>
      </c>
      <c r="J285" s="9" t="str">
        <f t="shared" si="2"/>
        <v>Perry</v>
      </c>
    </row>
    <row r="286">
      <c r="A286" s="14" t="s">
        <v>447</v>
      </c>
      <c r="B286" s="14" t="str">
        <f t="shared" si="1"/>
        <v>Sofia Phillips</v>
      </c>
      <c r="C286" s="54">
        <v>1899.0</v>
      </c>
      <c r="D286" s="10">
        <v>13.0</v>
      </c>
      <c r="E286" s="54" t="s">
        <v>12</v>
      </c>
      <c r="F286" s="54" t="s">
        <v>19</v>
      </c>
      <c r="G286" s="55" t="s">
        <v>448</v>
      </c>
      <c r="H286" s="56" t="s">
        <v>672</v>
      </c>
      <c r="I286" s="56" t="s">
        <v>580</v>
      </c>
      <c r="J286" s="9" t="str">
        <f t="shared" si="2"/>
        <v>Phillips</v>
      </c>
    </row>
    <row r="287">
      <c r="A287" s="14" t="s">
        <v>447</v>
      </c>
      <c r="B287" s="14" t="str">
        <f t="shared" si="1"/>
        <v>Alfred Reed</v>
      </c>
      <c r="C287" s="54">
        <v>1848.0</v>
      </c>
      <c r="D287" s="10">
        <v>64.0</v>
      </c>
      <c r="E287" s="54" t="s">
        <v>12</v>
      </c>
      <c r="F287" s="54" t="s">
        <v>19</v>
      </c>
      <c r="G287" s="55" t="s">
        <v>448</v>
      </c>
      <c r="H287" s="56" t="s">
        <v>673</v>
      </c>
      <c r="I287" s="56" t="s">
        <v>472</v>
      </c>
      <c r="J287" s="9" t="str">
        <f t="shared" si="2"/>
        <v>Reed</v>
      </c>
    </row>
    <row r="288">
      <c r="A288" s="14" t="s">
        <v>447</v>
      </c>
      <c r="B288" s="14" t="str">
        <f t="shared" si="1"/>
        <v>Ashton Reed</v>
      </c>
      <c r="C288" s="54">
        <v>1850.0</v>
      </c>
      <c r="D288" s="10">
        <v>62.0</v>
      </c>
      <c r="E288" s="54" t="s">
        <v>12</v>
      </c>
      <c r="F288" s="54" t="s">
        <v>19</v>
      </c>
      <c r="G288" s="55" t="s">
        <v>448</v>
      </c>
      <c r="H288" s="56" t="s">
        <v>673</v>
      </c>
      <c r="I288" s="56" t="s">
        <v>625</v>
      </c>
      <c r="J288" s="9" t="str">
        <f t="shared" si="2"/>
        <v>Reed</v>
      </c>
    </row>
    <row r="289">
      <c r="A289" s="14" t="s">
        <v>447</v>
      </c>
      <c r="B289" s="14" t="str">
        <f t="shared" si="1"/>
        <v>David Reed</v>
      </c>
      <c r="C289" s="54">
        <v>1877.0</v>
      </c>
      <c r="D289" s="10">
        <v>35.0</v>
      </c>
      <c r="E289" s="54" t="s">
        <v>33</v>
      </c>
      <c r="F289" s="54" t="s">
        <v>19</v>
      </c>
      <c r="G289" s="55" t="s">
        <v>448</v>
      </c>
      <c r="H289" s="56" t="s">
        <v>673</v>
      </c>
      <c r="I289" s="56" t="s">
        <v>590</v>
      </c>
      <c r="J289" s="9" t="str">
        <f t="shared" si="2"/>
        <v>Reed</v>
      </c>
    </row>
    <row r="290">
      <c r="A290" s="14" t="s">
        <v>447</v>
      </c>
      <c r="B290" s="14" t="str">
        <f t="shared" si="1"/>
        <v>Dominik Reed</v>
      </c>
      <c r="C290" s="54">
        <v>1856.0</v>
      </c>
      <c r="D290" s="10">
        <v>56.0</v>
      </c>
      <c r="E290" s="54" t="s">
        <v>33</v>
      </c>
      <c r="F290" s="54" t="s">
        <v>19</v>
      </c>
      <c r="G290" s="55" t="s">
        <v>448</v>
      </c>
      <c r="H290" s="56" t="s">
        <v>673</v>
      </c>
      <c r="I290" s="56" t="s">
        <v>609</v>
      </c>
      <c r="J290" s="9" t="str">
        <f t="shared" si="2"/>
        <v>Reed</v>
      </c>
    </row>
    <row r="291">
      <c r="A291" s="14" t="s">
        <v>447</v>
      </c>
      <c r="B291" s="14" t="str">
        <f t="shared" si="1"/>
        <v>Jordan Reed</v>
      </c>
      <c r="C291" s="54">
        <v>1840.0</v>
      </c>
      <c r="D291" s="10">
        <v>72.0</v>
      </c>
      <c r="E291" s="54" t="s">
        <v>18</v>
      </c>
      <c r="F291" s="54" t="s">
        <v>19</v>
      </c>
      <c r="G291" s="55" t="s">
        <v>448</v>
      </c>
      <c r="H291" s="56" t="s">
        <v>673</v>
      </c>
      <c r="I291" s="56" t="s">
        <v>534</v>
      </c>
      <c r="J291" s="9" t="str">
        <f t="shared" si="2"/>
        <v>Reed</v>
      </c>
    </row>
    <row r="292">
      <c r="A292" s="14" t="s">
        <v>447</v>
      </c>
      <c r="B292" s="14" t="str">
        <f t="shared" si="1"/>
        <v>Andrew Richards</v>
      </c>
      <c r="C292" s="54">
        <v>1861.0</v>
      </c>
      <c r="D292" s="10">
        <v>51.0</v>
      </c>
      <c r="E292" s="54" t="s">
        <v>22</v>
      </c>
      <c r="F292" s="54" t="s">
        <v>19</v>
      </c>
      <c r="G292" s="55" t="s">
        <v>448</v>
      </c>
      <c r="H292" s="56" t="s">
        <v>674</v>
      </c>
      <c r="I292" s="56" t="s">
        <v>631</v>
      </c>
      <c r="J292" s="9" t="str">
        <f t="shared" si="2"/>
        <v>Richards</v>
      </c>
    </row>
    <row r="293">
      <c r="A293" s="14" t="s">
        <v>447</v>
      </c>
      <c r="B293" s="14" t="str">
        <f t="shared" si="1"/>
        <v>Annabella Richards</v>
      </c>
      <c r="C293" s="54">
        <v>1897.0</v>
      </c>
      <c r="D293" s="10">
        <v>15.0</v>
      </c>
      <c r="E293" s="54" t="s">
        <v>18</v>
      </c>
      <c r="F293" s="54" t="s">
        <v>13</v>
      </c>
      <c r="G293" s="55" t="s">
        <v>448</v>
      </c>
      <c r="H293" s="56" t="s">
        <v>674</v>
      </c>
      <c r="I293" s="56" t="s">
        <v>466</v>
      </c>
      <c r="J293" s="9" t="str">
        <f t="shared" si="2"/>
        <v>Richards</v>
      </c>
    </row>
    <row r="294">
      <c r="A294" s="14" t="s">
        <v>447</v>
      </c>
      <c r="B294" s="14" t="str">
        <f t="shared" si="1"/>
        <v>Carlos Richards</v>
      </c>
      <c r="C294" s="54">
        <v>1893.0</v>
      </c>
      <c r="D294" s="10">
        <v>19.0</v>
      </c>
      <c r="E294" s="54" t="s">
        <v>33</v>
      </c>
      <c r="F294" s="54" t="s">
        <v>19</v>
      </c>
      <c r="G294" s="55" t="s">
        <v>448</v>
      </c>
      <c r="H294" s="56" t="s">
        <v>674</v>
      </c>
      <c r="I294" s="56" t="s">
        <v>675</v>
      </c>
      <c r="J294" s="9" t="str">
        <f t="shared" si="2"/>
        <v>Richards</v>
      </c>
    </row>
    <row r="295">
      <c r="A295" s="14" t="s">
        <v>447</v>
      </c>
      <c r="B295" s="14" t="str">
        <f t="shared" si="1"/>
        <v>Florrie Richards</v>
      </c>
      <c r="C295" s="54">
        <v>1887.0</v>
      </c>
      <c r="D295" s="10">
        <v>25.0</v>
      </c>
      <c r="E295" s="54" t="s">
        <v>22</v>
      </c>
      <c r="F295" s="54" t="s">
        <v>19</v>
      </c>
      <c r="G295" s="55" t="s">
        <v>448</v>
      </c>
      <c r="H295" s="56" t="s">
        <v>674</v>
      </c>
      <c r="I295" s="56" t="s">
        <v>547</v>
      </c>
      <c r="J295" s="9" t="str">
        <f t="shared" si="2"/>
        <v>Richards</v>
      </c>
    </row>
    <row r="296">
      <c r="A296" s="14" t="s">
        <v>447</v>
      </c>
      <c r="B296" s="14" t="str">
        <f t="shared" si="1"/>
        <v>Melanie Richards</v>
      </c>
      <c r="C296" s="54">
        <v>1883.0</v>
      </c>
      <c r="D296" s="10">
        <v>29.0</v>
      </c>
      <c r="E296" s="54" t="s">
        <v>22</v>
      </c>
      <c r="F296" s="54" t="s">
        <v>19</v>
      </c>
      <c r="G296" s="55" t="s">
        <v>448</v>
      </c>
      <c r="H296" s="56" t="s">
        <v>674</v>
      </c>
      <c r="I296" s="56" t="s">
        <v>468</v>
      </c>
      <c r="J296" s="9" t="str">
        <f t="shared" si="2"/>
        <v>Richards</v>
      </c>
    </row>
    <row r="297">
      <c r="A297" s="14" t="s">
        <v>447</v>
      </c>
      <c r="B297" s="14" t="str">
        <f t="shared" si="1"/>
        <v>Sophia Richards</v>
      </c>
      <c r="C297" s="54">
        <v>1907.0</v>
      </c>
      <c r="D297" s="10">
        <v>5.0</v>
      </c>
      <c r="E297" s="54" t="s">
        <v>18</v>
      </c>
      <c r="F297" s="54" t="s">
        <v>19</v>
      </c>
      <c r="G297" s="55" t="s">
        <v>448</v>
      </c>
      <c r="H297" s="56" t="s">
        <v>674</v>
      </c>
      <c r="I297" s="56" t="s">
        <v>563</v>
      </c>
      <c r="J297" s="9" t="str">
        <f t="shared" si="2"/>
        <v>Richards</v>
      </c>
    </row>
    <row r="298">
      <c r="A298" s="14" t="s">
        <v>447</v>
      </c>
      <c r="B298" s="14" t="str">
        <f t="shared" si="1"/>
        <v>Ada Richardson</v>
      </c>
      <c r="C298" s="54">
        <v>1885.0</v>
      </c>
      <c r="D298" s="10">
        <v>27.0</v>
      </c>
      <c r="E298" s="54" t="s">
        <v>12</v>
      </c>
      <c r="F298" s="54" t="s">
        <v>13</v>
      </c>
      <c r="G298" s="55" t="s">
        <v>448</v>
      </c>
      <c r="H298" s="56" t="s">
        <v>676</v>
      </c>
      <c r="I298" s="56" t="s">
        <v>598</v>
      </c>
      <c r="J298" s="9" t="str">
        <f t="shared" si="2"/>
        <v>Richardson</v>
      </c>
    </row>
    <row r="299">
      <c r="A299" s="14" t="s">
        <v>447</v>
      </c>
      <c r="B299" s="14" t="str">
        <f t="shared" si="1"/>
        <v>Brooke Richardson</v>
      </c>
      <c r="C299" s="54">
        <v>1840.0</v>
      </c>
      <c r="D299" s="10">
        <v>72.0</v>
      </c>
      <c r="E299" s="54" t="s">
        <v>33</v>
      </c>
      <c r="F299" s="54" t="s">
        <v>19</v>
      </c>
      <c r="G299" s="55" t="s">
        <v>448</v>
      </c>
      <c r="H299" s="56" t="s">
        <v>676</v>
      </c>
      <c r="I299" s="56" t="s">
        <v>662</v>
      </c>
      <c r="J299" s="9" t="str">
        <f t="shared" si="2"/>
        <v>Richardson</v>
      </c>
    </row>
    <row r="300">
      <c r="A300" s="14" t="s">
        <v>447</v>
      </c>
      <c r="B300" s="14" t="str">
        <f t="shared" si="1"/>
        <v>Edith Richardson</v>
      </c>
      <c r="C300" s="54">
        <v>1866.0</v>
      </c>
      <c r="D300" s="10">
        <v>46.0</v>
      </c>
      <c r="E300" s="54" t="s">
        <v>22</v>
      </c>
      <c r="F300" s="54" t="s">
        <v>19</v>
      </c>
      <c r="G300" s="55" t="s">
        <v>448</v>
      </c>
      <c r="H300" s="56" t="s">
        <v>676</v>
      </c>
      <c r="I300" s="56" t="s">
        <v>455</v>
      </c>
      <c r="J300" s="9" t="str">
        <f t="shared" si="2"/>
        <v>Richardson</v>
      </c>
    </row>
    <row r="301">
      <c r="A301" s="14" t="s">
        <v>447</v>
      </c>
      <c r="B301" s="14" t="str">
        <f t="shared" si="1"/>
        <v>Oscar Richardson</v>
      </c>
      <c r="C301" s="54">
        <v>1910.0</v>
      </c>
      <c r="D301" s="10">
        <v>2.0</v>
      </c>
      <c r="E301" s="54" t="s">
        <v>33</v>
      </c>
      <c r="F301" s="54" t="s">
        <v>19</v>
      </c>
      <c r="G301" s="55" t="s">
        <v>448</v>
      </c>
      <c r="H301" s="56" t="s">
        <v>676</v>
      </c>
      <c r="I301" s="56" t="s">
        <v>677</v>
      </c>
      <c r="J301" s="9" t="str">
        <f t="shared" si="2"/>
        <v>Richardson</v>
      </c>
    </row>
    <row r="302">
      <c r="A302" s="14" t="s">
        <v>447</v>
      </c>
      <c r="B302" s="14" t="str">
        <f t="shared" si="1"/>
        <v>Tony Richardson</v>
      </c>
      <c r="C302" s="54">
        <v>1863.0</v>
      </c>
      <c r="D302" s="10">
        <v>49.0</v>
      </c>
      <c r="E302" s="54" t="s">
        <v>33</v>
      </c>
      <c r="F302" s="54" t="s">
        <v>13</v>
      </c>
      <c r="G302" s="55" t="s">
        <v>448</v>
      </c>
      <c r="H302" s="56" t="s">
        <v>676</v>
      </c>
      <c r="I302" s="56" t="s">
        <v>610</v>
      </c>
      <c r="J302" s="9" t="str">
        <f t="shared" si="2"/>
        <v>Richardson</v>
      </c>
    </row>
    <row r="303">
      <c r="A303" s="14" t="s">
        <v>447</v>
      </c>
      <c r="B303" s="14" t="str">
        <f t="shared" si="1"/>
        <v>William Richardson</v>
      </c>
      <c r="C303" s="54">
        <v>1888.0</v>
      </c>
      <c r="D303" s="10">
        <v>24.0</v>
      </c>
      <c r="E303" s="54" t="s">
        <v>18</v>
      </c>
      <c r="F303" s="54" t="s">
        <v>19</v>
      </c>
      <c r="G303" s="55" t="s">
        <v>448</v>
      </c>
      <c r="H303" s="56" t="s">
        <v>676</v>
      </c>
      <c r="I303" s="56" t="s">
        <v>574</v>
      </c>
      <c r="J303" s="9" t="str">
        <f t="shared" si="2"/>
        <v>Richardson</v>
      </c>
    </row>
    <row r="304">
      <c r="A304" s="14" t="s">
        <v>447</v>
      </c>
      <c r="B304" s="14" t="str">
        <f t="shared" si="1"/>
        <v>Fenton Riley</v>
      </c>
      <c r="C304" s="54">
        <v>1908.0</v>
      </c>
      <c r="D304" s="10">
        <v>4.0</v>
      </c>
      <c r="E304" s="54" t="s">
        <v>33</v>
      </c>
      <c r="F304" s="54" t="s">
        <v>13</v>
      </c>
      <c r="G304" s="55" t="s">
        <v>448</v>
      </c>
      <c r="H304" s="56" t="s">
        <v>678</v>
      </c>
      <c r="I304" s="56" t="s">
        <v>477</v>
      </c>
      <c r="J304" s="9" t="str">
        <f t="shared" si="2"/>
        <v>Riley</v>
      </c>
    </row>
    <row r="305">
      <c r="A305" s="14" t="s">
        <v>447</v>
      </c>
      <c r="B305" s="14" t="str">
        <f t="shared" si="1"/>
        <v>Rosie Riley</v>
      </c>
      <c r="C305" s="54">
        <v>1879.0</v>
      </c>
      <c r="D305" s="10">
        <v>33.0</v>
      </c>
      <c r="E305" s="54" t="s">
        <v>33</v>
      </c>
      <c r="F305" s="54" t="s">
        <v>19</v>
      </c>
      <c r="G305" s="55" t="s">
        <v>448</v>
      </c>
      <c r="H305" s="56" t="s">
        <v>678</v>
      </c>
      <c r="I305" s="56" t="s">
        <v>666</v>
      </c>
      <c r="J305" s="9" t="str">
        <f t="shared" si="2"/>
        <v>Riley</v>
      </c>
    </row>
    <row r="306">
      <c r="A306" s="14" t="s">
        <v>447</v>
      </c>
      <c r="B306" s="14" t="str">
        <f t="shared" si="1"/>
        <v>Clark Roberts</v>
      </c>
      <c r="C306" s="54">
        <v>1862.0</v>
      </c>
      <c r="D306" s="10">
        <v>50.0</v>
      </c>
      <c r="E306" s="54" t="s">
        <v>22</v>
      </c>
      <c r="F306" s="54" t="s">
        <v>19</v>
      </c>
      <c r="G306" s="55" t="s">
        <v>448</v>
      </c>
      <c r="H306" s="56" t="s">
        <v>679</v>
      </c>
      <c r="I306" s="56" t="s">
        <v>626</v>
      </c>
      <c r="J306" s="9" t="str">
        <f t="shared" si="2"/>
        <v>Roberts</v>
      </c>
    </row>
    <row r="307">
      <c r="A307" s="14" t="s">
        <v>447</v>
      </c>
      <c r="B307" s="14" t="str">
        <f t="shared" si="1"/>
        <v>David Roberts</v>
      </c>
      <c r="C307" s="54">
        <v>1869.0</v>
      </c>
      <c r="D307" s="10">
        <v>43.0</v>
      </c>
      <c r="E307" s="54" t="s">
        <v>12</v>
      </c>
      <c r="F307" s="54" t="s">
        <v>13</v>
      </c>
      <c r="G307" s="55" t="s">
        <v>448</v>
      </c>
      <c r="H307" s="56" t="s">
        <v>679</v>
      </c>
      <c r="I307" s="56" t="s">
        <v>590</v>
      </c>
      <c r="J307" s="9" t="str">
        <f t="shared" si="2"/>
        <v>Roberts</v>
      </c>
    </row>
    <row r="308">
      <c r="A308" s="14" t="s">
        <v>447</v>
      </c>
      <c r="B308" s="14" t="str">
        <f t="shared" si="1"/>
        <v>Agata Robinson</v>
      </c>
      <c r="C308" s="54">
        <v>1849.0</v>
      </c>
      <c r="D308" s="10">
        <v>63.0</v>
      </c>
      <c r="E308" s="54" t="s">
        <v>12</v>
      </c>
      <c r="F308" s="54" t="s">
        <v>13</v>
      </c>
      <c r="G308" s="55" t="s">
        <v>448</v>
      </c>
      <c r="H308" s="56" t="s">
        <v>680</v>
      </c>
      <c r="I308" s="56" t="s">
        <v>664</v>
      </c>
      <c r="J308" s="9" t="str">
        <f t="shared" si="2"/>
        <v>Robinson</v>
      </c>
    </row>
    <row r="309">
      <c r="A309" s="14" t="s">
        <v>447</v>
      </c>
      <c r="B309" s="14" t="str">
        <f t="shared" si="1"/>
        <v>Amanda Robinson</v>
      </c>
      <c r="C309" s="54">
        <v>1842.0</v>
      </c>
      <c r="D309" s="10">
        <v>70.0</v>
      </c>
      <c r="E309" s="54" t="s">
        <v>12</v>
      </c>
      <c r="F309" s="54" t="s">
        <v>13</v>
      </c>
      <c r="G309" s="55" t="s">
        <v>448</v>
      </c>
      <c r="H309" s="56" t="s">
        <v>680</v>
      </c>
      <c r="I309" s="56" t="s">
        <v>576</v>
      </c>
      <c r="J309" s="9" t="str">
        <f t="shared" si="2"/>
        <v>Robinson</v>
      </c>
    </row>
    <row r="310">
      <c r="A310" s="14" t="s">
        <v>447</v>
      </c>
      <c r="B310" s="14" t="str">
        <f t="shared" si="1"/>
        <v>Carl Robinson</v>
      </c>
      <c r="C310" s="54">
        <v>1896.0</v>
      </c>
      <c r="D310" s="10">
        <v>16.0</v>
      </c>
      <c r="E310" s="54" t="s">
        <v>22</v>
      </c>
      <c r="F310" s="54" t="s">
        <v>13</v>
      </c>
      <c r="G310" s="55" t="s">
        <v>448</v>
      </c>
      <c r="H310" s="56" t="s">
        <v>680</v>
      </c>
      <c r="I310" s="56" t="s">
        <v>514</v>
      </c>
      <c r="J310" s="9" t="str">
        <f t="shared" si="2"/>
        <v>Robinson</v>
      </c>
    </row>
    <row r="311">
      <c r="A311" s="14" t="s">
        <v>447</v>
      </c>
      <c r="B311" s="14" t="str">
        <f t="shared" si="1"/>
        <v>Isabella Robinson</v>
      </c>
      <c r="C311" s="54">
        <v>1881.0</v>
      </c>
      <c r="D311" s="10">
        <v>31.0</v>
      </c>
      <c r="E311" s="54" t="s">
        <v>22</v>
      </c>
      <c r="F311" s="54" t="s">
        <v>19</v>
      </c>
      <c r="G311" s="55" t="s">
        <v>448</v>
      </c>
      <c r="H311" s="56" t="s">
        <v>680</v>
      </c>
      <c r="I311" s="56" t="s">
        <v>521</v>
      </c>
      <c r="J311" s="9" t="str">
        <f t="shared" si="2"/>
        <v>Robinson</v>
      </c>
    </row>
    <row r="312">
      <c r="A312" s="14" t="s">
        <v>447</v>
      </c>
      <c r="B312" s="14" t="str">
        <f t="shared" si="1"/>
        <v>Natalie Robinson</v>
      </c>
      <c r="C312" s="54">
        <v>1895.0</v>
      </c>
      <c r="D312" s="10">
        <v>17.0</v>
      </c>
      <c r="E312" s="54" t="s">
        <v>22</v>
      </c>
      <c r="F312" s="54" t="s">
        <v>19</v>
      </c>
      <c r="G312" s="55" t="s">
        <v>448</v>
      </c>
      <c r="H312" s="56" t="s">
        <v>680</v>
      </c>
      <c r="I312" s="56" t="s">
        <v>645</v>
      </c>
      <c r="J312" s="9" t="str">
        <f t="shared" si="2"/>
        <v>Robinson</v>
      </c>
    </row>
    <row r="313">
      <c r="A313" s="14" t="s">
        <v>447</v>
      </c>
      <c r="B313" s="14" t="str">
        <f t="shared" si="1"/>
        <v>Tess Robinson</v>
      </c>
      <c r="C313" s="54">
        <v>1854.0</v>
      </c>
      <c r="D313" s="10">
        <v>58.0</v>
      </c>
      <c r="E313" s="54" t="s">
        <v>22</v>
      </c>
      <c r="F313" s="54" t="s">
        <v>19</v>
      </c>
      <c r="G313" s="55" t="s">
        <v>448</v>
      </c>
      <c r="H313" s="56" t="s">
        <v>680</v>
      </c>
      <c r="I313" s="56" t="s">
        <v>620</v>
      </c>
      <c r="J313" s="9" t="str">
        <f t="shared" si="2"/>
        <v>Robinson</v>
      </c>
    </row>
    <row r="314">
      <c r="A314" s="14" t="s">
        <v>447</v>
      </c>
      <c r="B314" s="14" t="str">
        <f t="shared" si="1"/>
        <v>Ada Rogers</v>
      </c>
      <c r="C314" s="54">
        <v>1871.0</v>
      </c>
      <c r="D314" s="10">
        <v>41.0</v>
      </c>
      <c r="E314" s="54" t="s">
        <v>33</v>
      </c>
      <c r="F314" s="54" t="s">
        <v>19</v>
      </c>
      <c r="G314" s="55" t="s">
        <v>448</v>
      </c>
      <c r="H314" s="56" t="s">
        <v>681</v>
      </c>
      <c r="I314" s="56" t="s">
        <v>598</v>
      </c>
      <c r="J314" s="9" t="str">
        <f t="shared" si="2"/>
        <v>Rogers</v>
      </c>
    </row>
    <row r="315">
      <c r="A315" s="14" t="s">
        <v>447</v>
      </c>
      <c r="B315" s="14" t="str">
        <f t="shared" si="1"/>
        <v>Amanda Rogers</v>
      </c>
      <c r="C315" s="54">
        <v>1910.0</v>
      </c>
      <c r="D315" s="10">
        <v>2.0</v>
      </c>
      <c r="E315" s="54" t="s">
        <v>12</v>
      </c>
      <c r="F315" s="54" t="s">
        <v>13</v>
      </c>
      <c r="G315" s="55" t="s">
        <v>448</v>
      </c>
      <c r="H315" s="56" t="s">
        <v>681</v>
      </c>
      <c r="I315" s="56" t="s">
        <v>576</v>
      </c>
      <c r="J315" s="9" t="str">
        <f t="shared" si="2"/>
        <v>Rogers</v>
      </c>
    </row>
    <row r="316">
      <c r="A316" s="14" t="s">
        <v>447</v>
      </c>
      <c r="B316" s="14" t="str">
        <f t="shared" si="1"/>
        <v>Caroline Rogers</v>
      </c>
      <c r="C316" s="54">
        <v>1881.0</v>
      </c>
      <c r="D316" s="10">
        <v>31.0</v>
      </c>
      <c r="E316" s="54" t="s">
        <v>12</v>
      </c>
      <c r="F316" s="54" t="s">
        <v>13</v>
      </c>
      <c r="G316" s="55" t="s">
        <v>448</v>
      </c>
      <c r="H316" s="56" t="s">
        <v>681</v>
      </c>
      <c r="I316" s="56" t="s">
        <v>682</v>
      </c>
      <c r="J316" s="9" t="str">
        <f t="shared" si="2"/>
        <v>Rogers</v>
      </c>
    </row>
    <row r="317">
      <c r="A317" s="14" t="s">
        <v>447</v>
      </c>
      <c r="B317" s="14" t="str">
        <f t="shared" si="1"/>
        <v>Jasmine Rogers</v>
      </c>
      <c r="C317" s="54">
        <v>1866.0</v>
      </c>
      <c r="D317" s="10">
        <v>46.0</v>
      </c>
      <c r="E317" s="54" t="s">
        <v>22</v>
      </c>
      <c r="F317" s="54" t="s">
        <v>13</v>
      </c>
      <c r="G317" s="55" t="s">
        <v>448</v>
      </c>
      <c r="H317" s="56" t="s">
        <v>681</v>
      </c>
      <c r="I317" s="56" t="s">
        <v>623</v>
      </c>
      <c r="J317" s="9" t="str">
        <f t="shared" si="2"/>
        <v>Rogers</v>
      </c>
    </row>
    <row r="318">
      <c r="A318" s="14" t="s">
        <v>447</v>
      </c>
      <c r="B318" s="14" t="str">
        <f t="shared" si="1"/>
        <v>Kirsten Rogers</v>
      </c>
      <c r="C318" s="54">
        <v>1898.0</v>
      </c>
      <c r="D318" s="10">
        <v>14.0</v>
      </c>
      <c r="E318" s="54" t="s">
        <v>33</v>
      </c>
      <c r="F318" s="54" t="s">
        <v>19</v>
      </c>
      <c r="G318" s="55" t="s">
        <v>448</v>
      </c>
      <c r="H318" s="56" t="s">
        <v>681</v>
      </c>
      <c r="I318" s="56" t="s">
        <v>551</v>
      </c>
      <c r="J318" s="9" t="str">
        <f t="shared" si="2"/>
        <v>Rogers</v>
      </c>
    </row>
    <row r="319">
      <c r="A319" s="14" t="s">
        <v>447</v>
      </c>
      <c r="B319" s="14" t="str">
        <f t="shared" si="1"/>
        <v>Adam Ross</v>
      </c>
      <c r="C319" s="54">
        <v>1883.0</v>
      </c>
      <c r="D319" s="10">
        <v>29.0</v>
      </c>
      <c r="E319" s="54" t="s">
        <v>22</v>
      </c>
      <c r="F319" s="54" t="s">
        <v>19</v>
      </c>
      <c r="G319" s="55" t="s">
        <v>448</v>
      </c>
      <c r="H319" s="56" t="s">
        <v>683</v>
      </c>
      <c r="I319" s="56" t="s">
        <v>684</v>
      </c>
      <c r="J319" s="9" t="str">
        <f t="shared" si="2"/>
        <v>Ross</v>
      </c>
    </row>
    <row r="320">
      <c r="A320" s="14" t="s">
        <v>447</v>
      </c>
      <c r="B320" s="14" t="str">
        <f t="shared" si="1"/>
        <v>Deanna Ross</v>
      </c>
      <c r="C320" s="54">
        <v>1864.0</v>
      </c>
      <c r="D320" s="10">
        <v>48.0</v>
      </c>
      <c r="E320" s="54" t="s">
        <v>33</v>
      </c>
      <c r="F320" s="54" t="s">
        <v>13</v>
      </c>
      <c r="G320" s="55" t="s">
        <v>448</v>
      </c>
      <c r="H320" s="56" t="s">
        <v>683</v>
      </c>
      <c r="I320" s="56" t="s">
        <v>508</v>
      </c>
      <c r="J320" s="9" t="str">
        <f t="shared" si="2"/>
        <v>Ross</v>
      </c>
    </row>
    <row r="321">
      <c r="A321" s="14" t="s">
        <v>447</v>
      </c>
      <c r="B321" s="14" t="str">
        <f t="shared" si="1"/>
        <v>Roland Ross</v>
      </c>
      <c r="C321" s="54">
        <v>1850.0</v>
      </c>
      <c r="D321" s="10">
        <v>62.0</v>
      </c>
      <c r="E321" s="54" t="s">
        <v>33</v>
      </c>
      <c r="F321" s="54" t="s">
        <v>19</v>
      </c>
      <c r="G321" s="55" t="s">
        <v>448</v>
      </c>
      <c r="H321" s="56" t="s">
        <v>683</v>
      </c>
      <c r="I321" s="56" t="s">
        <v>685</v>
      </c>
      <c r="J321" s="9" t="str">
        <f t="shared" si="2"/>
        <v>Ross</v>
      </c>
    </row>
    <row r="322">
      <c r="A322" s="14" t="s">
        <v>447</v>
      </c>
      <c r="B322" s="14" t="str">
        <f t="shared" si="1"/>
        <v>Aida Russell</v>
      </c>
      <c r="C322" s="54">
        <v>1844.0</v>
      </c>
      <c r="D322" s="10">
        <v>68.0</v>
      </c>
      <c r="E322" s="54" t="s">
        <v>22</v>
      </c>
      <c r="F322" s="54" t="s">
        <v>19</v>
      </c>
      <c r="G322" s="55" t="s">
        <v>448</v>
      </c>
      <c r="H322" s="56" t="s">
        <v>686</v>
      </c>
      <c r="I322" s="56" t="s">
        <v>571</v>
      </c>
      <c r="J322" s="9" t="str">
        <f t="shared" si="2"/>
        <v>Russell</v>
      </c>
    </row>
    <row r="323">
      <c r="A323" s="14" t="s">
        <v>447</v>
      </c>
      <c r="B323" s="14" t="str">
        <f t="shared" si="1"/>
        <v>Alberta Russell</v>
      </c>
      <c r="C323" s="54">
        <v>1881.0</v>
      </c>
      <c r="D323" s="10">
        <v>31.0</v>
      </c>
      <c r="E323" s="54" t="s">
        <v>22</v>
      </c>
      <c r="F323" s="54" t="s">
        <v>19</v>
      </c>
      <c r="G323" s="55" t="s">
        <v>448</v>
      </c>
      <c r="H323" s="56" t="s">
        <v>686</v>
      </c>
      <c r="I323" s="56" t="s">
        <v>687</v>
      </c>
      <c r="J323" s="9" t="str">
        <f t="shared" si="2"/>
        <v>Russell</v>
      </c>
    </row>
    <row r="324">
      <c r="A324" s="14" t="s">
        <v>447</v>
      </c>
      <c r="B324" s="14" t="str">
        <f t="shared" si="1"/>
        <v>Alissa Russell</v>
      </c>
      <c r="C324" s="54">
        <v>1895.0</v>
      </c>
      <c r="D324" s="10">
        <v>17.0</v>
      </c>
      <c r="E324" s="54" t="s">
        <v>22</v>
      </c>
      <c r="F324" s="54" t="s">
        <v>19</v>
      </c>
      <c r="G324" s="55" t="s">
        <v>448</v>
      </c>
      <c r="H324" s="56" t="s">
        <v>686</v>
      </c>
      <c r="I324" s="56" t="s">
        <v>572</v>
      </c>
      <c r="J324" s="9" t="str">
        <f t="shared" si="2"/>
        <v>Russell</v>
      </c>
    </row>
    <row r="325">
      <c r="A325" s="14" t="s">
        <v>447</v>
      </c>
      <c r="B325" s="14" t="str">
        <f t="shared" si="1"/>
        <v>Dominik Russell</v>
      </c>
      <c r="C325" s="54">
        <v>1882.0</v>
      </c>
      <c r="D325" s="10">
        <v>30.0</v>
      </c>
      <c r="E325" s="54" t="s">
        <v>22</v>
      </c>
      <c r="F325" s="54" t="s">
        <v>19</v>
      </c>
      <c r="G325" s="55" t="s">
        <v>448</v>
      </c>
      <c r="H325" s="56" t="s">
        <v>686</v>
      </c>
      <c r="I325" s="56" t="s">
        <v>609</v>
      </c>
      <c r="J325" s="9" t="str">
        <f t="shared" si="2"/>
        <v>Russell</v>
      </c>
    </row>
    <row r="326">
      <c r="A326" s="14" t="s">
        <v>447</v>
      </c>
      <c r="B326" s="14" t="str">
        <f t="shared" si="1"/>
        <v>Isabella Russell</v>
      </c>
      <c r="C326" s="54">
        <v>1869.0</v>
      </c>
      <c r="D326" s="10">
        <v>43.0</v>
      </c>
      <c r="E326" s="54" t="s">
        <v>33</v>
      </c>
      <c r="F326" s="54" t="s">
        <v>19</v>
      </c>
      <c r="G326" s="55" t="s">
        <v>448</v>
      </c>
      <c r="H326" s="56" t="s">
        <v>686</v>
      </c>
      <c r="I326" s="56" t="s">
        <v>521</v>
      </c>
      <c r="J326" s="9" t="str">
        <f t="shared" si="2"/>
        <v>Russell</v>
      </c>
    </row>
    <row r="327">
      <c r="A327" s="14" t="s">
        <v>447</v>
      </c>
      <c r="B327" s="14" t="str">
        <f t="shared" si="1"/>
        <v>Kellan Russell</v>
      </c>
      <c r="C327" s="54">
        <v>1852.0</v>
      </c>
      <c r="D327" s="10">
        <v>60.0</v>
      </c>
      <c r="E327" s="54" t="s">
        <v>18</v>
      </c>
      <c r="F327" s="54" t="s">
        <v>13</v>
      </c>
      <c r="G327" s="55" t="s">
        <v>448</v>
      </c>
      <c r="H327" s="56" t="s">
        <v>686</v>
      </c>
      <c r="I327" s="56" t="s">
        <v>688</v>
      </c>
      <c r="J327" s="9" t="str">
        <f t="shared" si="2"/>
        <v>Russell</v>
      </c>
    </row>
    <row r="328">
      <c r="A328" s="14" t="s">
        <v>447</v>
      </c>
      <c r="B328" s="14" t="str">
        <f t="shared" si="1"/>
        <v>Rebecca Russell</v>
      </c>
      <c r="C328" s="54">
        <v>1866.0</v>
      </c>
      <c r="D328" s="10">
        <v>46.0</v>
      </c>
      <c r="E328" s="54" t="s">
        <v>33</v>
      </c>
      <c r="F328" s="54" t="s">
        <v>19</v>
      </c>
      <c r="G328" s="55" t="s">
        <v>448</v>
      </c>
      <c r="H328" s="56" t="s">
        <v>686</v>
      </c>
      <c r="I328" s="56" t="s">
        <v>647</v>
      </c>
      <c r="J328" s="9" t="str">
        <f t="shared" si="2"/>
        <v>Russell</v>
      </c>
    </row>
    <row r="329">
      <c r="A329" s="14" t="s">
        <v>447</v>
      </c>
      <c r="B329" s="14" t="str">
        <f t="shared" si="1"/>
        <v>Alexander Ryan</v>
      </c>
      <c r="C329" s="54">
        <v>1848.0</v>
      </c>
      <c r="D329" s="10">
        <v>64.0</v>
      </c>
      <c r="E329" s="54" t="s">
        <v>18</v>
      </c>
      <c r="F329" s="54" t="s">
        <v>13</v>
      </c>
      <c r="G329" s="55" t="s">
        <v>448</v>
      </c>
      <c r="H329" s="56" t="s">
        <v>689</v>
      </c>
      <c r="I329" s="56" t="s">
        <v>619</v>
      </c>
      <c r="J329" s="9" t="str">
        <f t="shared" si="2"/>
        <v>Ryan</v>
      </c>
    </row>
    <row r="330">
      <c r="A330" s="14" t="s">
        <v>447</v>
      </c>
      <c r="B330" s="14" t="str">
        <f t="shared" si="1"/>
        <v>Derek Ryan</v>
      </c>
      <c r="C330" s="54">
        <v>1883.0</v>
      </c>
      <c r="D330" s="10">
        <v>29.0</v>
      </c>
      <c r="E330" s="54" t="s">
        <v>33</v>
      </c>
      <c r="F330" s="54" t="s">
        <v>19</v>
      </c>
      <c r="G330" s="55" t="s">
        <v>448</v>
      </c>
      <c r="H330" s="56" t="s">
        <v>689</v>
      </c>
      <c r="I330" s="56" t="s">
        <v>690</v>
      </c>
      <c r="J330" s="9" t="str">
        <f t="shared" si="2"/>
        <v>Ryan</v>
      </c>
    </row>
    <row r="331">
      <c r="A331" s="14" t="s">
        <v>447</v>
      </c>
      <c r="B331" s="14" t="str">
        <f t="shared" si="1"/>
        <v>Tony Ryan</v>
      </c>
      <c r="C331" s="54">
        <v>1849.0</v>
      </c>
      <c r="D331" s="10">
        <v>63.0</v>
      </c>
      <c r="E331" s="54" t="s">
        <v>22</v>
      </c>
      <c r="F331" s="54" t="s">
        <v>19</v>
      </c>
      <c r="G331" s="55" t="s">
        <v>448</v>
      </c>
      <c r="H331" s="56" t="s">
        <v>689</v>
      </c>
      <c r="I331" s="56" t="s">
        <v>610</v>
      </c>
      <c r="J331" s="9" t="str">
        <f t="shared" si="2"/>
        <v>Ryan</v>
      </c>
    </row>
    <row r="332">
      <c r="A332" s="14" t="s">
        <v>447</v>
      </c>
      <c r="B332" s="14" t="str">
        <f t="shared" si="1"/>
        <v>Vivian Ryan</v>
      </c>
      <c r="C332" s="54">
        <v>1892.0</v>
      </c>
      <c r="D332" s="10">
        <v>20.0</v>
      </c>
      <c r="E332" s="54" t="s">
        <v>33</v>
      </c>
      <c r="F332" s="54" t="s">
        <v>19</v>
      </c>
      <c r="G332" s="55" t="s">
        <v>448</v>
      </c>
      <c r="H332" s="56" t="s">
        <v>689</v>
      </c>
      <c r="I332" s="56" t="s">
        <v>691</v>
      </c>
      <c r="J332" s="9" t="str">
        <f t="shared" si="2"/>
        <v>Ryan</v>
      </c>
    </row>
    <row r="333">
      <c r="A333" s="14" t="s">
        <v>447</v>
      </c>
      <c r="B333" s="14" t="str">
        <f t="shared" si="1"/>
        <v>Edward Scott</v>
      </c>
      <c r="C333" s="54">
        <v>1883.0</v>
      </c>
      <c r="D333" s="10">
        <v>29.0</v>
      </c>
      <c r="E333" s="54" t="s">
        <v>33</v>
      </c>
      <c r="F333" s="54" t="s">
        <v>19</v>
      </c>
      <c r="G333" s="55" t="s">
        <v>448</v>
      </c>
      <c r="H333" s="56" t="s">
        <v>692</v>
      </c>
      <c r="I333" s="56" t="s">
        <v>539</v>
      </c>
      <c r="J333" s="9" t="str">
        <f t="shared" si="2"/>
        <v>Scott</v>
      </c>
    </row>
    <row r="334">
      <c r="A334" s="14" t="s">
        <v>447</v>
      </c>
      <c r="B334" s="14" t="str">
        <f t="shared" si="1"/>
        <v>Edwin Scott</v>
      </c>
      <c r="C334" s="54">
        <v>1876.0</v>
      </c>
      <c r="D334" s="10">
        <v>36.0</v>
      </c>
      <c r="E334" s="54" t="s">
        <v>22</v>
      </c>
      <c r="F334" s="54" t="s">
        <v>19</v>
      </c>
      <c r="G334" s="55" t="s">
        <v>448</v>
      </c>
      <c r="H334" s="56" t="s">
        <v>692</v>
      </c>
      <c r="I334" s="56" t="s">
        <v>693</v>
      </c>
      <c r="J334" s="9" t="str">
        <f t="shared" si="2"/>
        <v>Scott</v>
      </c>
    </row>
    <row r="335">
      <c r="A335" s="14" t="s">
        <v>447</v>
      </c>
      <c r="B335" s="14" t="str">
        <f t="shared" si="1"/>
        <v>Haris Scott</v>
      </c>
      <c r="C335" s="54">
        <v>1844.0</v>
      </c>
      <c r="D335" s="10">
        <v>68.0</v>
      </c>
      <c r="E335" s="54" t="s">
        <v>22</v>
      </c>
      <c r="F335" s="54" t="s">
        <v>19</v>
      </c>
      <c r="G335" s="55" t="s">
        <v>448</v>
      </c>
      <c r="H335" s="56" t="s">
        <v>692</v>
      </c>
      <c r="I335" s="56" t="s">
        <v>559</v>
      </c>
      <c r="J335" s="9" t="str">
        <f t="shared" si="2"/>
        <v>Scott</v>
      </c>
    </row>
    <row r="336">
      <c r="A336" s="14" t="s">
        <v>447</v>
      </c>
      <c r="B336" s="14" t="str">
        <f t="shared" si="1"/>
        <v>Richard Scott</v>
      </c>
      <c r="C336" s="54">
        <v>1894.0</v>
      </c>
      <c r="D336" s="10">
        <v>18.0</v>
      </c>
      <c r="E336" s="54" t="s">
        <v>22</v>
      </c>
      <c r="F336" s="54" t="s">
        <v>19</v>
      </c>
      <c r="G336" s="55" t="s">
        <v>448</v>
      </c>
      <c r="H336" s="56" t="s">
        <v>692</v>
      </c>
      <c r="I336" s="56" t="s">
        <v>694</v>
      </c>
      <c r="J336" s="9" t="str">
        <f t="shared" si="2"/>
        <v>Scott</v>
      </c>
    </row>
    <row r="337">
      <c r="A337" s="14" t="s">
        <v>447</v>
      </c>
      <c r="B337" s="14" t="str">
        <f t="shared" si="1"/>
        <v>Derek Smith</v>
      </c>
      <c r="C337" s="54">
        <v>1874.0</v>
      </c>
      <c r="D337" s="10">
        <v>38.0</v>
      </c>
      <c r="E337" s="54" t="s">
        <v>33</v>
      </c>
      <c r="F337" s="54" t="s">
        <v>13</v>
      </c>
      <c r="G337" s="55" t="s">
        <v>448</v>
      </c>
      <c r="H337" s="56" t="s">
        <v>695</v>
      </c>
      <c r="I337" s="56" t="s">
        <v>690</v>
      </c>
      <c r="J337" s="9" t="str">
        <f t="shared" si="2"/>
        <v>Smith</v>
      </c>
    </row>
    <row r="338">
      <c r="A338" s="14" t="s">
        <v>447</v>
      </c>
      <c r="B338" s="14" t="str">
        <f t="shared" si="1"/>
        <v>Florrie Smith</v>
      </c>
      <c r="C338" s="54">
        <v>1880.0</v>
      </c>
      <c r="D338" s="10">
        <v>32.0</v>
      </c>
      <c r="E338" s="54" t="s">
        <v>22</v>
      </c>
      <c r="F338" s="54" t="s">
        <v>19</v>
      </c>
      <c r="G338" s="55" t="s">
        <v>448</v>
      </c>
      <c r="H338" s="56" t="s">
        <v>695</v>
      </c>
      <c r="I338" s="56" t="s">
        <v>547</v>
      </c>
      <c r="J338" s="9" t="str">
        <f t="shared" si="2"/>
        <v>Smith</v>
      </c>
    </row>
    <row r="339">
      <c r="A339" s="14" t="s">
        <v>447</v>
      </c>
      <c r="B339" s="14" t="str">
        <f t="shared" si="1"/>
        <v>Maximilian Smith</v>
      </c>
      <c r="C339" s="54">
        <v>1840.0</v>
      </c>
      <c r="D339" s="10">
        <v>72.0</v>
      </c>
      <c r="E339" s="54" t="s">
        <v>22</v>
      </c>
      <c r="F339" s="54" t="s">
        <v>13</v>
      </c>
      <c r="G339" s="55" t="s">
        <v>448</v>
      </c>
      <c r="H339" s="56" t="s">
        <v>695</v>
      </c>
      <c r="I339" s="56" t="s">
        <v>696</v>
      </c>
      <c r="J339" s="9" t="str">
        <f t="shared" si="2"/>
        <v>Smith</v>
      </c>
    </row>
    <row r="340">
      <c r="A340" s="14" t="s">
        <v>447</v>
      </c>
      <c r="B340" s="14" t="str">
        <f t="shared" si="1"/>
        <v>Kevin Spencer</v>
      </c>
      <c r="C340" s="54">
        <v>1859.0</v>
      </c>
      <c r="D340" s="10">
        <v>53.0</v>
      </c>
      <c r="E340" s="54" t="s">
        <v>22</v>
      </c>
      <c r="F340" s="54" t="s">
        <v>19</v>
      </c>
      <c r="G340" s="55" t="s">
        <v>448</v>
      </c>
      <c r="H340" s="56" t="s">
        <v>697</v>
      </c>
      <c r="I340" s="56" t="s">
        <v>560</v>
      </c>
      <c r="J340" s="9" t="str">
        <f t="shared" si="2"/>
        <v>Spencer</v>
      </c>
    </row>
    <row r="341">
      <c r="A341" s="14" t="s">
        <v>447</v>
      </c>
      <c r="B341" s="14" t="str">
        <f t="shared" si="1"/>
        <v>Maya Spencer</v>
      </c>
      <c r="C341" s="54">
        <v>1901.0</v>
      </c>
      <c r="D341" s="10">
        <v>11.0</v>
      </c>
      <c r="E341" s="54" t="s">
        <v>33</v>
      </c>
      <c r="F341" s="54" t="s">
        <v>19</v>
      </c>
      <c r="G341" s="55" t="s">
        <v>448</v>
      </c>
      <c r="H341" s="56" t="s">
        <v>697</v>
      </c>
      <c r="I341" s="56" t="s">
        <v>591</v>
      </c>
      <c r="J341" s="9" t="str">
        <f t="shared" si="2"/>
        <v>Spencer</v>
      </c>
    </row>
    <row r="342">
      <c r="A342" s="14" t="s">
        <v>447</v>
      </c>
      <c r="B342" s="14" t="str">
        <f t="shared" si="1"/>
        <v>Michelle Spencer</v>
      </c>
      <c r="C342" s="54">
        <v>1850.0</v>
      </c>
      <c r="D342" s="10">
        <v>62.0</v>
      </c>
      <c r="E342" s="54" t="s">
        <v>33</v>
      </c>
      <c r="F342" s="54" t="s">
        <v>13</v>
      </c>
      <c r="G342" s="55" t="s">
        <v>448</v>
      </c>
      <c r="H342" s="56" t="s">
        <v>697</v>
      </c>
      <c r="I342" s="56" t="s">
        <v>617</v>
      </c>
      <c r="J342" s="9" t="str">
        <f t="shared" si="2"/>
        <v>Spencer</v>
      </c>
    </row>
    <row r="343">
      <c r="A343" s="14" t="s">
        <v>447</v>
      </c>
      <c r="B343" s="14" t="str">
        <f t="shared" si="1"/>
        <v>Miley Stevens</v>
      </c>
      <c r="C343" s="54">
        <v>1850.0</v>
      </c>
      <c r="D343" s="10">
        <v>62.0</v>
      </c>
      <c r="E343" s="54" t="s">
        <v>22</v>
      </c>
      <c r="F343" s="54" t="s">
        <v>19</v>
      </c>
      <c r="G343" s="55" t="s">
        <v>448</v>
      </c>
      <c r="H343" s="56" t="s">
        <v>698</v>
      </c>
      <c r="I343" s="56" t="s">
        <v>528</v>
      </c>
      <c r="J343" s="9" t="str">
        <f t="shared" si="2"/>
        <v>Stevens</v>
      </c>
    </row>
    <row r="344">
      <c r="A344" s="14" t="s">
        <v>447</v>
      </c>
      <c r="B344" s="14" t="str">
        <f t="shared" si="1"/>
        <v>Sarah Stevens</v>
      </c>
      <c r="C344" s="54">
        <v>1902.0</v>
      </c>
      <c r="D344" s="10">
        <v>10.0</v>
      </c>
      <c r="E344" s="54" t="s">
        <v>33</v>
      </c>
      <c r="F344" s="54" t="s">
        <v>19</v>
      </c>
      <c r="G344" s="55" t="s">
        <v>448</v>
      </c>
      <c r="H344" s="56" t="s">
        <v>698</v>
      </c>
      <c r="I344" s="56" t="s">
        <v>490</v>
      </c>
      <c r="J344" s="9" t="str">
        <f t="shared" si="2"/>
        <v>Stevens</v>
      </c>
    </row>
    <row r="345">
      <c r="A345" s="14" t="s">
        <v>447</v>
      </c>
      <c r="B345" s="14" t="str">
        <f t="shared" si="1"/>
        <v>Annabella Stewart</v>
      </c>
      <c r="C345" s="54">
        <v>1849.0</v>
      </c>
      <c r="D345" s="10">
        <v>63.0</v>
      </c>
      <c r="E345" s="54" t="s">
        <v>22</v>
      </c>
      <c r="F345" s="54" t="s">
        <v>19</v>
      </c>
      <c r="G345" s="55" t="s">
        <v>448</v>
      </c>
      <c r="H345" s="56" t="s">
        <v>699</v>
      </c>
      <c r="I345" s="56" t="s">
        <v>466</v>
      </c>
      <c r="J345" s="9" t="str">
        <f t="shared" si="2"/>
        <v>Stewart</v>
      </c>
    </row>
    <row r="346">
      <c r="A346" s="14" t="s">
        <v>447</v>
      </c>
      <c r="B346" s="14" t="str">
        <f t="shared" si="1"/>
        <v>Darcy Stewart</v>
      </c>
      <c r="C346" s="54">
        <v>1869.0</v>
      </c>
      <c r="D346" s="10">
        <v>43.0</v>
      </c>
      <c r="E346" s="54" t="s">
        <v>18</v>
      </c>
      <c r="F346" s="54" t="s">
        <v>19</v>
      </c>
      <c r="G346" s="55" t="s">
        <v>448</v>
      </c>
      <c r="H346" s="56" t="s">
        <v>699</v>
      </c>
      <c r="I346" s="56" t="s">
        <v>550</v>
      </c>
      <c r="J346" s="9" t="str">
        <f t="shared" si="2"/>
        <v>Stewart</v>
      </c>
    </row>
    <row r="347">
      <c r="A347" s="14" t="s">
        <v>447</v>
      </c>
      <c r="B347" s="14" t="str">
        <f t="shared" si="1"/>
        <v>Emily Stewart</v>
      </c>
      <c r="C347" s="54">
        <v>1845.0</v>
      </c>
      <c r="D347" s="10">
        <v>67.0</v>
      </c>
      <c r="E347" s="54" t="s">
        <v>22</v>
      </c>
      <c r="F347" s="54" t="s">
        <v>19</v>
      </c>
      <c r="G347" s="55" t="s">
        <v>448</v>
      </c>
      <c r="H347" s="56" t="s">
        <v>699</v>
      </c>
      <c r="I347" s="56" t="s">
        <v>700</v>
      </c>
      <c r="J347" s="9" t="str">
        <f t="shared" si="2"/>
        <v>Stewart</v>
      </c>
    </row>
    <row r="348">
      <c r="A348" s="14" t="s">
        <v>447</v>
      </c>
      <c r="B348" s="14" t="str">
        <f t="shared" si="1"/>
        <v>Nicole Stewart</v>
      </c>
      <c r="C348" s="54">
        <v>1878.0</v>
      </c>
      <c r="D348" s="10">
        <v>34.0</v>
      </c>
      <c r="E348" s="54" t="s">
        <v>18</v>
      </c>
      <c r="F348" s="54" t="s">
        <v>13</v>
      </c>
      <c r="G348" s="55" t="s">
        <v>448</v>
      </c>
      <c r="H348" s="56" t="s">
        <v>699</v>
      </c>
      <c r="I348" s="56" t="s">
        <v>607</v>
      </c>
      <c r="J348" s="9" t="str">
        <f t="shared" si="2"/>
        <v>Stewart</v>
      </c>
    </row>
    <row r="349">
      <c r="A349" s="14" t="s">
        <v>447</v>
      </c>
      <c r="B349" s="14" t="str">
        <f t="shared" si="1"/>
        <v>Amy Sullivan</v>
      </c>
      <c r="C349" s="54">
        <v>1840.0</v>
      </c>
      <c r="D349" s="10">
        <v>72.0</v>
      </c>
      <c r="E349" s="54" t="s">
        <v>33</v>
      </c>
      <c r="F349" s="54" t="s">
        <v>19</v>
      </c>
      <c r="G349" s="55" t="s">
        <v>448</v>
      </c>
      <c r="H349" s="56" t="s">
        <v>701</v>
      </c>
      <c r="I349" s="56" t="s">
        <v>702</v>
      </c>
      <c r="J349" s="9" t="str">
        <f t="shared" si="2"/>
        <v>Sullivan</v>
      </c>
    </row>
    <row r="350">
      <c r="A350" s="14" t="s">
        <v>447</v>
      </c>
      <c r="B350" s="14" t="str">
        <f t="shared" si="1"/>
        <v>Maddie Sullivan</v>
      </c>
      <c r="C350" s="54">
        <v>1855.0</v>
      </c>
      <c r="D350" s="10">
        <v>57.0</v>
      </c>
      <c r="E350" s="54" t="s">
        <v>22</v>
      </c>
      <c r="F350" s="54" t="s">
        <v>19</v>
      </c>
      <c r="G350" s="55" t="s">
        <v>448</v>
      </c>
      <c r="H350" s="56" t="s">
        <v>701</v>
      </c>
      <c r="I350" s="56" t="s">
        <v>542</v>
      </c>
      <c r="J350" s="9" t="str">
        <f t="shared" si="2"/>
        <v>Sullivan</v>
      </c>
    </row>
    <row r="351">
      <c r="A351" s="14" t="s">
        <v>447</v>
      </c>
      <c r="B351" s="14" t="str">
        <f t="shared" si="1"/>
        <v>Maya Sullivan</v>
      </c>
      <c r="C351" s="54">
        <v>1909.0</v>
      </c>
      <c r="D351" s="10">
        <v>3.0</v>
      </c>
      <c r="E351" s="54" t="s">
        <v>18</v>
      </c>
      <c r="F351" s="54" t="s">
        <v>13</v>
      </c>
      <c r="G351" s="55" t="s">
        <v>448</v>
      </c>
      <c r="H351" s="56" t="s">
        <v>701</v>
      </c>
      <c r="I351" s="56" t="s">
        <v>591</v>
      </c>
      <c r="J351" s="9" t="str">
        <f t="shared" si="2"/>
        <v>Sullivan</v>
      </c>
    </row>
    <row r="352">
      <c r="A352" s="14" t="s">
        <v>447</v>
      </c>
      <c r="B352" s="14" t="str">
        <f t="shared" si="1"/>
        <v>Walter Sullivan</v>
      </c>
      <c r="C352" s="54">
        <v>1841.0</v>
      </c>
      <c r="D352" s="10">
        <v>71.0</v>
      </c>
      <c r="E352" s="54" t="s">
        <v>22</v>
      </c>
      <c r="F352" s="54" t="s">
        <v>19</v>
      </c>
      <c r="G352" s="55" t="s">
        <v>448</v>
      </c>
      <c r="H352" s="56" t="s">
        <v>701</v>
      </c>
      <c r="I352" s="56" t="s">
        <v>469</v>
      </c>
      <c r="J352" s="9" t="str">
        <f t="shared" si="2"/>
        <v>Sullivan</v>
      </c>
    </row>
    <row r="353">
      <c r="A353" s="14" t="s">
        <v>447</v>
      </c>
      <c r="B353" s="14" t="str">
        <f t="shared" si="1"/>
        <v>Blake Taylor</v>
      </c>
      <c r="C353" s="54">
        <v>1883.0</v>
      </c>
      <c r="D353" s="10">
        <v>29.0</v>
      </c>
      <c r="E353" s="54" t="s">
        <v>18</v>
      </c>
      <c r="F353" s="54" t="s">
        <v>19</v>
      </c>
      <c r="G353" s="55" t="s">
        <v>448</v>
      </c>
      <c r="H353" s="56" t="s">
        <v>703</v>
      </c>
      <c r="I353" s="56" t="s">
        <v>704</v>
      </c>
      <c r="J353" s="9" t="str">
        <f t="shared" si="2"/>
        <v>Taylor</v>
      </c>
    </row>
    <row r="354">
      <c r="A354" s="14" t="s">
        <v>447</v>
      </c>
      <c r="B354" s="14" t="str">
        <f t="shared" si="1"/>
        <v>Jasmine Taylor</v>
      </c>
      <c r="C354" s="54">
        <v>1884.0</v>
      </c>
      <c r="D354" s="10">
        <v>28.0</v>
      </c>
      <c r="E354" s="54" t="s">
        <v>12</v>
      </c>
      <c r="F354" s="54" t="s">
        <v>13</v>
      </c>
      <c r="G354" s="55" t="s">
        <v>448</v>
      </c>
      <c r="H354" s="56" t="s">
        <v>703</v>
      </c>
      <c r="I354" s="56" t="s">
        <v>623</v>
      </c>
      <c r="J354" s="9" t="str">
        <f t="shared" si="2"/>
        <v>Taylor</v>
      </c>
    </row>
    <row r="355">
      <c r="A355" s="14" t="s">
        <v>447</v>
      </c>
      <c r="B355" s="14" t="str">
        <f t="shared" si="1"/>
        <v>Albert Thomas</v>
      </c>
      <c r="C355" s="54">
        <v>1871.0</v>
      </c>
      <c r="D355" s="10">
        <v>41.0</v>
      </c>
      <c r="E355" s="54" t="s">
        <v>22</v>
      </c>
      <c r="F355" s="54" t="s">
        <v>19</v>
      </c>
      <c r="G355" s="55" t="s">
        <v>448</v>
      </c>
      <c r="H355" s="56" t="s">
        <v>705</v>
      </c>
      <c r="I355" s="56" t="s">
        <v>595</v>
      </c>
      <c r="J355" s="9" t="str">
        <f t="shared" si="2"/>
        <v>Thomas</v>
      </c>
    </row>
    <row r="356">
      <c r="A356" s="14" t="s">
        <v>447</v>
      </c>
      <c r="B356" s="14" t="str">
        <f t="shared" si="1"/>
        <v>Belinda Thomas</v>
      </c>
      <c r="C356" s="54">
        <v>1856.0</v>
      </c>
      <c r="D356" s="10">
        <v>56.0</v>
      </c>
      <c r="E356" s="54" t="s">
        <v>22</v>
      </c>
      <c r="F356" s="54" t="s">
        <v>13</v>
      </c>
      <c r="G356" s="55" t="s">
        <v>448</v>
      </c>
      <c r="H356" s="56" t="s">
        <v>705</v>
      </c>
      <c r="I356" s="56" t="s">
        <v>558</v>
      </c>
      <c r="J356" s="9" t="str">
        <f t="shared" si="2"/>
        <v>Thomas</v>
      </c>
    </row>
    <row r="357">
      <c r="A357" s="14" t="s">
        <v>447</v>
      </c>
      <c r="B357" s="14" t="str">
        <f t="shared" si="1"/>
        <v>Clark Thompson</v>
      </c>
      <c r="C357" s="54">
        <v>1859.0</v>
      </c>
      <c r="D357" s="10">
        <v>53.0</v>
      </c>
      <c r="E357" s="54" t="s">
        <v>33</v>
      </c>
      <c r="F357" s="54" t="s">
        <v>19</v>
      </c>
      <c r="G357" s="55" t="s">
        <v>448</v>
      </c>
      <c r="H357" s="56" t="s">
        <v>706</v>
      </c>
      <c r="I357" s="56" t="s">
        <v>626</v>
      </c>
      <c r="J357" s="9" t="str">
        <f t="shared" si="2"/>
        <v>Thompson</v>
      </c>
    </row>
    <row r="358">
      <c r="A358" s="14" t="s">
        <v>447</v>
      </c>
      <c r="B358" s="14" t="str">
        <f t="shared" si="1"/>
        <v>Penelope Thompson</v>
      </c>
      <c r="C358" s="54">
        <v>1847.0</v>
      </c>
      <c r="D358" s="10">
        <v>65.0</v>
      </c>
      <c r="E358" s="54" t="s">
        <v>22</v>
      </c>
      <c r="F358" s="54" t="s">
        <v>19</v>
      </c>
      <c r="G358" s="55" t="s">
        <v>448</v>
      </c>
      <c r="H358" s="56" t="s">
        <v>706</v>
      </c>
      <c r="I358" s="56" t="s">
        <v>707</v>
      </c>
      <c r="J358" s="9" t="str">
        <f t="shared" si="2"/>
        <v>Thompson</v>
      </c>
    </row>
    <row r="359">
      <c r="A359" s="14" t="s">
        <v>447</v>
      </c>
      <c r="B359" s="14" t="str">
        <f t="shared" si="1"/>
        <v>Spike Thompson</v>
      </c>
      <c r="C359" s="54">
        <v>1877.0</v>
      </c>
      <c r="D359" s="10">
        <v>35.0</v>
      </c>
      <c r="E359" s="54" t="s">
        <v>22</v>
      </c>
      <c r="F359" s="54" t="s">
        <v>19</v>
      </c>
      <c r="G359" s="55" t="s">
        <v>448</v>
      </c>
      <c r="H359" s="56" t="s">
        <v>706</v>
      </c>
      <c r="I359" s="56" t="s">
        <v>708</v>
      </c>
      <c r="J359" s="9" t="str">
        <f t="shared" si="2"/>
        <v>Thompson</v>
      </c>
    </row>
    <row r="360">
      <c r="A360" s="14" t="s">
        <v>447</v>
      </c>
      <c r="B360" s="14" t="str">
        <f t="shared" si="1"/>
        <v>Adele Tucker</v>
      </c>
      <c r="C360" s="54">
        <v>1896.0</v>
      </c>
      <c r="D360" s="10">
        <v>16.0</v>
      </c>
      <c r="E360" s="54" t="s">
        <v>22</v>
      </c>
      <c r="F360" s="54" t="s">
        <v>19</v>
      </c>
      <c r="G360" s="55" t="s">
        <v>448</v>
      </c>
      <c r="H360" s="56" t="s">
        <v>709</v>
      </c>
      <c r="I360" s="56" t="s">
        <v>630</v>
      </c>
      <c r="J360" s="9" t="str">
        <f t="shared" si="2"/>
        <v>Tucker</v>
      </c>
    </row>
    <row r="361">
      <c r="A361" s="14" t="s">
        <v>447</v>
      </c>
      <c r="B361" s="14" t="str">
        <f t="shared" si="1"/>
        <v>Albert Tucker</v>
      </c>
      <c r="C361" s="54">
        <v>1845.0</v>
      </c>
      <c r="D361" s="10">
        <v>67.0</v>
      </c>
      <c r="E361" s="54" t="s">
        <v>33</v>
      </c>
      <c r="F361" s="54" t="s">
        <v>19</v>
      </c>
      <c r="G361" s="55" t="s">
        <v>448</v>
      </c>
      <c r="H361" s="56" t="s">
        <v>709</v>
      </c>
      <c r="I361" s="56" t="s">
        <v>595</v>
      </c>
      <c r="J361" s="9" t="str">
        <f t="shared" si="2"/>
        <v>Tucker</v>
      </c>
    </row>
    <row r="362">
      <c r="A362" s="14" t="s">
        <v>447</v>
      </c>
      <c r="B362" s="14" t="str">
        <f t="shared" si="1"/>
        <v>Charlotte Tucker</v>
      </c>
      <c r="C362" s="54">
        <v>1843.0</v>
      </c>
      <c r="D362" s="10">
        <v>69.0</v>
      </c>
      <c r="E362" s="54" t="s">
        <v>22</v>
      </c>
      <c r="F362" s="54" t="s">
        <v>19</v>
      </c>
      <c r="G362" s="55" t="s">
        <v>448</v>
      </c>
      <c r="H362" s="56" t="s">
        <v>709</v>
      </c>
      <c r="I362" s="56" t="s">
        <v>496</v>
      </c>
      <c r="J362" s="9" t="str">
        <f t="shared" si="2"/>
        <v>Tucker</v>
      </c>
    </row>
    <row r="363">
      <c r="A363" s="14" t="s">
        <v>447</v>
      </c>
      <c r="B363" s="14" t="str">
        <f t="shared" si="1"/>
        <v>Alen Turner</v>
      </c>
      <c r="C363" s="54">
        <v>1870.0</v>
      </c>
      <c r="D363" s="10">
        <v>42.0</v>
      </c>
      <c r="E363" s="54" t="s">
        <v>18</v>
      </c>
      <c r="F363" s="54" t="s">
        <v>19</v>
      </c>
      <c r="G363" s="55" t="s">
        <v>448</v>
      </c>
      <c r="H363" s="56" t="s">
        <v>710</v>
      </c>
      <c r="I363" s="56" t="s">
        <v>711</v>
      </c>
      <c r="J363" s="9" t="str">
        <f t="shared" si="2"/>
        <v>Turner</v>
      </c>
    </row>
    <row r="364">
      <c r="A364" s="14" t="s">
        <v>447</v>
      </c>
      <c r="B364" s="14" t="str">
        <f t="shared" si="1"/>
        <v>Derek Turner</v>
      </c>
      <c r="C364" s="54">
        <v>1850.0</v>
      </c>
      <c r="D364" s="10">
        <v>62.0</v>
      </c>
      <c r="E364" s="54" t="s">
        <v>18</v>
      </c>
      <c r="F364" s="54" t="s">
        <v>19</v>
      </c>
      <c r="G364" s="55" t="s">
        <v>448</v>
      </c>
      <c r="H364" s="56" t="s">
        <v>710</v>
      </c>
      <c r="I364" s="56" t="s">
        <v>690</v>
      </c>
      <c r="J364" s="9" t="str">
        <f t="shared" si="2"/>
        <v>Turner</v>
      </c>
    </row>
    <row r="365">
      <c r="A365" s="14" t="s">
        <v>447</v>
      </c>
      <c r="B365" s="14" t="str">
        <f t="shared" si="1"/>
        <v>Justin Turner</v>
      </c>
      <c r="C365" s="54">
        <v>1847.0</v>
      </c>
      <c r="D365" s="10">
        <v>65.0</v>
      </c>
      <c r="E365" s="54" t="s">
        <v>22</v>
      </c>
      <c r="F365" s="54" t="s">
        <v>13</v>
      </c>
      <c r="G365" s="55" t="s">
        <v>448</v>
      </c>
      <c r="H365" s="56" t="s">
        <v>710</v>
      </c>
      <c r="I365" s="56" t="s">
        <v>516</v>
      </c>
      <c r="J365" s="9" t="str">
        <f t="shared" si="2"/>
        <v>Turner</v>
      </c>
    </row>
    <row r="366">
      <c r="A366" s="14" t="s">
        <v>447</v>
      </c>
      <c r="B366" s="14" t="str">
        <f t="shared" si="1"/>
        <v>Kristian Turner</v>
      </c>
      <c r="C366" s="54">
        <v>1849.0</v>
      </c>
      <c r="D366" s="10">
        <v>63.0</v>
      </c>
      <c r="E366" s="54" t="s">
        <v>33</v>
      </c>
      <c r="F366" s="54" t="s">
        <v>13</v>
      </c>
      <c r="G366" s="55" t="s">
        <v>448</v>
      </c>
      <c r="H366" s="56" t="s">
        <v>710</v>
      </c>
      <c r="I366" s="56" t="s">
        <v>712</v>
      </c>
      <c r="J366" s="9" t="str">
        <f t="shared" si="2"/>
        <v>Turner</v>
      </c>
    </row>
    <row r="367">
      <c r="A367" s="14" t="s">
        <v>447</v>
      </c>
      <c r="B367" s="14" t="str">
        <f t="shared" si="1"/>
        <v>Leonardo Turner</v>
      </c>
      <c r="C367" s="54">
        <v>1865.0</v>
      </c>
      <c r="D367" s="10">
        <v>47.0</v>
      </c>
      <c r="E367" s="54" t="s">
        <v>33</v>
      </c>
      <c r="F367" s="54" t="s">
        <v>19</v>
      </c>
      <c r="G367" s="55" t="s">
        <v>448</v>
      </c>
      <c r="H367" s="56" t="s">
        <v>710</v>
      </c>
      <c r="I367" s="56" t="s">
        <v>599</v>
      </c>
      <c r="J367" s="9" t="str">
        <f t="shared" si="2"/>
        <v>Turner</v>
      </c>
    </row>
    <row r="368">
      <c r="A368" s="14" t="s">
        <v>447</v>
      </c>
      <c r="B368" s="14" t="str">
        <f t="shared" si="1"/>
        <v>Adrian Walker</v>
      </c>
      <c r="C368" s="54">
        <v>1848.0</v>
      </c>
      <c r="D368" s="10">
        <v>64.0</v>
      </c>
      <c r="E368" s="54" t="s">
        <v>18</v>
      </c>
      <c r="F368" s="54" t="s">
        <v>19</v>
      </c>
      <c r="G368" s="55" t="s">
        <v>448</v>
      </c>
      <c r="H368" s="56" t="s">
        <v>713</v>
      </c>
      <c r="I368" s="56" t="s">
        <v>544</v>
      </c>
      <c r="J368" s="9" t="str">
        <f t="shared" si="2"/>
        <v>Walker</v>
      </c>
    </row>
    <row r="369">
      <c r="A369" s="14" t="s">
        <v>447</v>
      </c>
      <c r="B369" s="14" t="str">
        <f t="shared" si="1"/>
        <v>Deanna Walker</v>
      </c>
      <c r="C369" s="54">
        <v>1843.0</v>
      </c>
      <c r="D369" s="10">
        <v>69.0</v>
      </c>
      <c r="E369" s="54" t="s">
        <v>22</v>
      </c>
      <c r="F369" s="54" t="s">
        <v>13</v>
      </c>
      <c r="G369" s="55" t="s">
        <v>448</v>
      </c>
      <c r="H369" s="56" t="s">
        <v>713</v>
      </c>
      <c r="I369" s="56" t="s">
        <v>508</v>
      </c>
      <c r="J369" s="9" t="str">
        <f t="shared" si="2"/>
        <v>Walker</v>
      </c>
    </row>
    <row r="370">
      <c r="A370" s="14" t="s">
        <v>447</v>
      </c>
      <c r="B370" s="14" t="str">
        <f t="shared" si="1"/>
        <v>Bruce Warren</v>
      </c>
      <c r="C370" s="54">
        <v>1897.0</v>
      </c>
      <c r="D370" s="10">
        <v>15.0</v>
      </c>
      <c r="E370" s="54" t="s">
        <v>12</v>
      </c>
      <c r="F370" s="54" t="s">
        <v>13</v>
      </c>
      <c r="G370" s="55" t="s">
        <v>448</v>
      </c>
      <c r="H370" s="56" t="s">
        <v>714</v>
      </c>
      <c r="I370" s="56" t="s">
        <v>668</v>
      </c>
      <c r="J370" s="9" t="str">
        <f t="shared" si="2"/>
        <v>Warren</v>
      </c>
    </row>
    <row r="371">
      <c r="A371" s="14" t="s">
        <v>447</v>
      </c>
      <c r="B371" s="14" t="str">
        <f t="shared" si="1"/>
        <v>Jenna Warren</v>
      </c>
      <c r="C371" s="54">
        <v>1886.0</v>
      </c>
      <c r="D371" s="10">
        <v>26.0</v>
      </c>
      <c r="E371" s="54" t="s">
        <v>12</v>
      </c>
      <c r="F371" s="54" t="s">
        <v>19</v>
      </c>
      <c r="G371" s="55" t="s">
        <v>448</v>
      </c>
      <c r="H371" s="56" t="s">
        <v>714</v>
      </c>
      <c r="I371" s="56" t="s">
        <v>656</v>
      </c>
      <c r="J371" s="9" t="str">
        <f t="shared" si="2"/>
        <v>Warren</v>
      </c>
    </row>
    <row r="372">
      <c r="A372" s="14" t="s">
        <v>447</v>
      </c>
      <c r="B372" s="14" t="str">
        <f t="shared" si="1"/>
        <v>Lydia Warren</v>
      </c>
      <c r="C372" s="54">
        <v>1845.0</v>
      </c>
      <c r="D372" s="10">
        <v>67.0</v>
      </c>
      <c r="E372" s="54" t="s">
        <v>12</v>
      </c>
      <c r="F372" s="54" t="s">
        <v>13</v>
      </c>
      <c r="G372" s="55" t="s">
        <v>448</v>
      </c>
      <c r="H372" s="56" t="s">
        <v>714</v>
      </c>
      <c r="I372" s="56" t="s">
        <v>715</v>
      </c>
      <c r="J372" s="9" t="str">
        <f t="shared" si="2"/>
        <v>Warren</v>
      </c>
    </row>
    <row r="373">
      <c r="A373" s="14" t="s">
        <v>447</v>
      </c>
      <c r="B373" s="14" t="str">
        <f t="shared" si="1"/>
        <v>Marcus Warren</v>
      </c>
      <c r="C373" s="54">
        <v>1849.0</v>
      </c>
      <c r="D373" s="10">
        <v>63.0</v>
      </c>
      <c r="E373" s="54" t="s">
        <v>12</v>
      </c>
      <c r="F373" s="54" t="s">
        <v>13</v>
      </c>
      <c r="G373" s="55" t="s">
        <v>448</v>
      </c>
      <c r="H373" s="56" t="s">
        <v>714</v>
      </c>
      <c r="I373" s="56" t="s">
        <v>561</v>
      </c>
      <c r="J373" s="9" t="str">
        <f t="shared" si="2"/>
        <v>Warren</v>
      </c>
    </row>
    <row r="374">
      <c r="A374" s="14" t="s">
        <v>447</v>
      </c>
      <c r="B374" s="14" t="str">
        <f t="shared" si="1"/>
        <v>Martin Warren</v>
      </c>
      <c r="C374" s="54">
        <v>1852.0</v>
      </c>
      <c r="D374" s="10">
        <v>60.0</v>
      </c>
      <c r="E374" s="54" t="s">
        <v>22</v>
      </c>
      <c r="F374" s="54" t="s">
        <v>19</v>
      </c>
      <c r="G374" s="55" t="s">
        <v>448</v>
      </c>
      <c r="H374" s="56" t="s">
        <v>714</v>
      </c>
      <c r="I374" s="56" t="s">
        <v>505</v>
      </c>
      <c r="J374" s="9" t="str">
        <f t="shared" si="2"/>
        <v>Warren</v>
      </c>
    </row>
    <row r="375">
      <c r="A375" s="14" t="s">
        <v>447</v>
      </c>
      <c r="B375" s="14" t="str">
        <f t="shared" si="1"/>
        <v>Aldus Watson</v>
      </c>
      <c r="C375" s="54">
        <v>1887.0</v>
      </c>
      <c r="D375" s="10">
        <v>25.0</v>
      </c>
      <c r="E375" s="54" t="s">
        <v>18</v>
      </c>
      <c r="F375" s="54" t="s">
        <v>13</v>
      </c>
      <c r="G375" s="55" t="s">
        <v>448</v>
      </c>
      <c r="H375" s="56" t="s">
        <v>716</v>
      </c>
      <c r="I375" s="56" t="s">
        <v>464</v>
      </c>
      <c r="J375" s="9" t="str">
        <f t="shared" si="2"/>
        <v>Watson</v>
      </c>
    </row>
    <row r="376">
      <c r="A376" s="14" t="s">
        <v>447</v>
      </c>
      <c r="B376" s="14" t="str">
        <f t="shared" si="1"/>
        <v>Eleanor Watson</v>
      </c>
      <c r="C376" s="54">
        <v>1860.0</v>
      </c>
      <c r="D376" s="10">
        <v>52.0</v>
      </c>
      <c r="E376" s="54" t="s">
        <v>18</v>
      </c>
      <c r="F376" s="54" t="s">
        <v>13</v>
      </c>
      <c r="G376" s="55" t="s">
        <v>448</v>
      </c>
      <c r="H376" s="56" t="s">
        <v>716</v>
      </c>
      <c r="I376" s="56" t="s">
        <v>717</v>
      </c>
      <c r="J376" s="9" t="str">
        <f t="shared" si="2"/>
        <v>Watson</v>
      </c>
    </row>
    <row r="377">
      <c r="A377" s="14" t="s">
        <v>447</v>
      </c>
      <c r="B377" s="14" t="str">
        <f t="shared" si="1"/>
        <v>Eric Watson</v>
      </c>
      <c r="C377" s="54">
        <v>1846.0</v>
      </c>
      <c r="D377" s="10">
        <v>66.0</v>
      </c>
      <c r="E377" s="54" t="s">
        <v>33</v>
      </c>
      <c r="F377" s="54" t="s">
        <v>13</v>
      </c>
      <c r="G377" s="55" t="s">
        <v>448</v>
      </c>
      <c r="H377" s="56" t="s">
        <v>716</v>
      </c>
      <c r="I377" s="56" t="s">
        <v>509</v>
      </c>
      <c r="J377" s="9" t="str">
        <f t="shared" si="2"/>
        <v>Watson</v>
      </c>
    </row>
    <row r="378">
      <c r="A378" s="14" t="s">
        <v>447</v>
      </c>
      <c r="B378" s="14" t="str">
        <f t="shared" si="1"/>
        <v>Jordan Watson</v>
      </c>
      <c r="C378" s="54">
        <v>1887.0</v>
      </c>
      <c r="D378" s="10">
        <v>25.0</v>
      </c>
      <c r="E378" s="54" t="s">
        <v>12</v>
      </c>
      <c r="F378" s="54" t="s">
        <v>19</v>
      </c>
      <c r="G378" s="55" t="s">
        <v>448</v>
      </c>
      <c r="H378" s="56" t="s">
        <v>716</v>
      </c>
      <c r="I378" s="56" t="s">
        <v>534</v>
      </c>
      <c r="J378" s="9" t="str">
        <f t="shared" si="2"/>
        <v>Watson</v>
      </c>
    </row>
    <row r="379">
      <c r="A379" s="14" t="s">
        <v>447</v>
      </c>
      <c r="B379" s="14" t="str">
        <f t="shared" si="1"/>
        <v>Naomi Watson</v>
      </c>
      <c r="C379" s="54">
        <v>1856.0</v>
      </c>
      <c r="D379" s="10">
        <v>56.0</v>
      </c>
      <c r="E379" s="54" t="s">
        <v>12</v>
      </c>
      <c r="F379" s="54" t="s">
        <v>13</v>
      </c>
      <c r="G379" s="55" t="s">
        <v>448</v>
      </c>
      <c r="H379" s="56" t="s">
        <v>716</v>
      </c>
      <c r="I379" s="56" t="s">
        <v>461</v>
      </c>
      <c r="J379" s="9" t="str">
        <f t="shared" si="2"/>
        <v>Watson</v>
      </c>
    </row>
    <row r="380">
      <c r="A380" s="14" t="s">
        <v>447</v>
      </c>
      <c r="B380" s="14" t="str">
        <f t="shared" si="1"/>
        <v>Nicole Watson</v>
      </c>
      <c r="C380" s="54">
        <v>1845.0</v>
      </c>
      <c r="D380" s="10">
        <v>67.0</v>
      </c>
      <c r="E380" s="54" t="s">
        <v>22</v>
      </c>
      <c r="F380" s="54" t="s">
        <v>19</v>
      </c>
      <c r="G380" s="55" t="s">
        <v>448</v>
      </c>
      <c r="H380" s="56" t="s">
        <v>716</v>
      </c>
      <c r="I380" s="56" t="s">
        <v>607</v>
      </c>
      <c r="J380" s="9" t="str">
        <f t="shared" si="2"/>
        <v>Watson</v>
      </c>
    </row>
    <row r="381">
      <c r="A381" s="14" t="s">
        <v>447</v>
      </c>
      <c r="B381" s="14" t="str">
        <f t="shared" si="1"/>
        <v>Owen Watson</v>
      </c>
      <c r="C381" s="54">
        <v>1860.0</v>
      </c>
      <c r="D381" s="10">
        <v>52.0</v>
      </c>
      <c r="E381" s="54" t="s">
        <v>12</v>
      </c>
      <c r="F381" s="54" t="s">
        <v>13</v>
      </c>
      <c r="G381" s="55" t="s">
        <v>448</v>
      </c>
      <c r="H381" s="56" t="s">
        <v>716</v>
      </c>
      <c r="I381" s="56" t="s">
        <v>483</v>
      </c>
      <c r="J381" s="9" t="str">
        <f t="shared" si="2"/>
        <v>Watson</v>
      </c>
    </row>
    <row r="382">
      <c r="A382" s="14" t="s">
        <v>447</v>
      </c>
      <c r="B382" s="14" t="str">
        <f t="shared" si="1"/>
        <v>Roland Watson</v>
      </c>
      <c r="C382" s="54">
        <v>1879.0</v>
      </c>
      <c r="D382" s="10">
        <v>33.0</v>
      </c>
      <c r="E382" s="54" t="s">
        <v>33</v>
      </c>
      <c r="F382" s="54" t="s">
        <v>19</v>
      </c>
      <c r="G382" s="55" t="s">
        <v>448</v>
      </c>
      <c r="H382" s="56" t="s">
        <v>716</v>
      </c>
      <c r="I382" s="56" t="s">
        <v>685</v>
      </c>
      <c r="J382" s="9" t="str">
        <f t="shared" si="2"/>
        <v>Watson</v>
      </c>
    </row>
    <row r="383">
      <c r="A383" s="14" t="s">
        <v>447</v>
      </c>
      <c r="B383" s="14" t="str">
        <f t="shared" si="1"/>
        <v>Sam Watson</v>
      </c>
      <c r="C383" s="54">
        <v>1893.0</v>
      </c>
      <c r="D383" s="10">
        <v>19.0</v>
      </c>
      <c r="E383" s="54" t="s">
        <v>12</v>
      </c>
      <c r="F383" s="54" t="s">
        <v>19</v>
      </c>
      <c r="G383" s="55" t="s">
        <v>448</v>
      </c>
      <c r="H383" s="56" t="s">
        <v>716</v>
      </c>
      <c r="I383" s="56" t="s">
        <v>718</v>
      </c>
      <c r="J383" s="9" t="str">
        <f t="shared" si="2"/>
        <v>Watson</v>
      </c>
    </row>
    <row r="384">
      <c r="A384" s="14" t="s">
        <v>447</v>
      </c>
      <c r="B384" s="14" t="str">
        <f t="shared" si="1"/>
        <v>Violet Watson</v>
      </c>
      <c r="C384" s="54">
        <v>1893.0</v>
      </c>
      <c r="D384" s="10">
        <v>19.0</v>
      </c>
      <c r="E384" s="54" t="s">
        <v>22</v>
      </c>
      <c r="F384" s="54" t="s">
        <v>19</v>
      </c>
      <c r="G384" s="55" t="s">
        <v>448</v>
      </c>
      <c r="H384" s="56" t="s">
        <v>716</v>
      </c>
      <c r="I384" s="56" t="s">
        <v>452</v>
      </c>
      <c r="J384" s="9" t="str">
        <f t="shared" si="2"/>
        <v>Watson</v>
      </c>
    </row>
    <row r="385">
      <c r="A385" s="14" t="s">
        <v>447</v>
      </c>
      <c r="B385" s="14" t="str">
        <f t="shared" si="1"/>
        <v>Vivian Watson</v>
      </c>
      <c r="C385" s="54">
        <v>1870.0</v>
      </c>
      <c r="D385" s="10">
        <v>42.0</v>
      </c>
      <c r="E385" s="54" t="s">
        <v>12</v>
      </c>
      <c r="F385" s="54" t="s">
        <v>13</v>
      </c>
      <c r="G385" s="55" t="s">
        <v>448</v>
      </c>
      <c r="H385" s="56" t="s">
        <v>716</v>
      </c>
      <c r="I385" s="56" t="s">
        <v>691</v>
      </c>
      <c r="J385" s="9" t="str">
        <f t="shared" si="2"/>
        <v>Watson</v>
      </c>
    </row>
    <row r="386">
      <c r="A386" s="14" t="s">
        <v>447</v>
      </c>
      <c r="B386" s="14" t="str">
        <f t="shared" si="1"/>
        <v>Amber Wells</v>
      </c>
      <c r="C386" s="54">
        <v>1844.0</v>
      </c>
      <c r="D386" s="10">
        <v>68.0</v>
      </c>
      <c r="E386" s="54" t="s">
        <v>33</v>
      </c>
      <c r="F386" s="54" t="s">
        <v>19</v>
      </c>
      <c r="G386" s="55" t="s">
        <v>448</v>
      </c>
      <c r="H386" s="56" t="s">
        <v>719</v>
      </c>
      <c r="I386" s="56" t="s">
        <v>532</v>
      </c>
      <c r="J386" s="9" t="str">
        <f t="shared" si="2"/>
        <v>Wells</v>
      </c>
    </row>
    <row r="387">
      <c r="A387" s="14" t="s">
        <v>447</v>
      </c>
      <c r="B387" s="14" t="str">
        <f t="shared" si="1"/>
        <v>Carl Wells</v>
      </c>
      <c r="C387" s="54">
        <v>1886.0</v>
      </c>
      <c r="D387" s="10">
        <v>26.0</v>
      </c>
      <c r="E387" s="54" t="s">
        <v>22</v>
      </c>
      <c r="F387" s="54" t="s">
        <v>13</v>
      </c>
      <c r="G387" s="55" t="s">
        <v>448</v>
      </c>
      <c r="H387" s="56" t="s">
        <v>719</v>
      </c>
      <c r="I387" s="56" t="s">
        <v>514</v>
      </c>
      <c r="J387" s="9" t="str">
        <f t="shared" si="2"/>
        <v>Wells</v>
      </c>
    </row>
    <row r="388">
      <c r="A388" s="14" t="s">
        <v>447</v>
      </c>
      <c r="B388" s="14" t="str">
        <f t="shared" si="1"/>
        <v>Chloe Wells</v>
      </c>
      <c r="C388" s="54">
        <v>1863.0</v>
      </c>
      <c r="D388" s="10">
        <v>49.0</v>
      </c>
      <c r="E388" s="54" t="s">
        <v>22</v>
      </c>
      <c r="F388" s="54" t="s">
        <v>19</v>
      </c>
      <c r="G388" s="55" t="s">
        <v>448</v>
      </c>
      <c r="H388" s="56" t="s">
        <v>719</v>
      </c>
      <c r="I388" s="56" t="s">
        <v>640</v>
      </c>
      <c r="J388" s="9" t="str">
        <f t="shared" si="2"/>
        <v>Wells</v>
      </c>
    </row>
    <row r="389">
      <c r="A389" s="14" t="s">
        <v>447</v>
      </c>
      <c r="B389" s="14" t="str">
        <f t="shared" si="1"/>
        <v>Daisy Wells</v>
      </c>
      <c r="C389" s="54">
        <v>1889.0</v>
      </c>
      <c r="D389" s="10">
        <v>23.0</v>
      </c>
      <c r="E389" s="54" t="s">
        <v>33</v>
      </c>
      <c r="F389" s="54" t="s">
        <v>19</v>
      </c>
      <c r="G389" s="55" t="s">
        <v>448</v>
      </c>
      <c r="H389" s="56" t="s">
        <v>719</v>
      </c>
      <c r="I389" s="56" t="s">
        <v>577</v>
      </c>
      <c r="J389" s="9" t="str">
        <f t="shared" si="2"/>
        <v>Wells</v>
      </c>
    </row>
    <row r="390">
      <c r="A390" s="14" t="s">
        <v>447</v>
      </c>
      <c r="B390" s="14" t="str">
        <f t="shared" si="1"/>
        <v>Lucy Wells</v>
      </c>
      <c r="C390" s="54">
        <v>1901.0</v>
      </c>
      <c r="D390" s="10">
        <v>11.0</v>
      </c>
      <c r="E390" s="54" t="s">
        <v>33</v>
      </c>
      <c r="F390" s="54" t="s">
        <v>13</v>
      </c>
      <c r="G390" s="55" t="s">
        <v>448</v>
      </c>
      <c r="H390" s="56" t="s">
        <v>719</v>
      </c>
      <c r="I390" s="56" t="s">
        <v>583</v>
      </c>
      <c r="J390" s="9" t="str">
        <f t="shared" si="2"/>
        <v>Wells</v>
      </c>
    </row>
    <row r="391">
      <c r="A391" s="14" t="s">
        <v>447</v>
      </c>
      <c r="B391" s="14" t="str">
        <f t="shared" si="1"/>
        <v>Nicole Wells</v>
      </c>
      <c r="C391" s="54">
        <v>1869.0</v>
      </c>
      <c r="D391" s="10">
        <v>43.0</v>
      </c>
      <c r="E391" s="54" t="s">
        <v>22</v>
      </c>
      <c r="F391" s="54" t="s">
        <v>13</v>
      </c>
      <c r="G391" s="55" t="s">
        <v>448</v>
      </c>
      <c r="H391" s="56" t="s">
        <v>719</v>
      </c>
      <c r="I391" s="56" t="s">
        <v>607</v>
      </c>
      <c r="J391" s="9" t="str">
        <f t="shared" si="2"/>
        <v>Wells</v>
      </c>
    </row>
    <row r="392">
      <c r="A392" s="14" t="s">
        <v>447</v>
      </c>
      <c r="B392" s="14" t="str">
        <f t="shared" si="1"/>
        <v>Walter Wells</v>
      </c>
      <c r="C392" s="54">
        <v>1866.0</v>
      </c>
      <c r="D392" s="10">
        <v>46.0</v>
      </c>
      <c r="E392" s="54" t="s">
        <v>22</v>
      </c>
      <c r="F392" s="54" t="s">
        <v>13</v>
      </c>
      <c r="G392" s="55" t="s">
        <v>448</v>
      </c>
      <c r="H392" s="56" t="s">
        <v>719</v>
      </c>
      <c r="I392" s="56" t="s">
        <v>469</v>
      </c>
      <c r="J392" s="9" t="str">
        <f t="shared" si="2"/>
        <v>Wells</v>
      </c>
    </row>
    <row r="393">
      <c r="A393" s="14" t="s">
        <v>447</v>
      </c>
      <c r="B393" s="14" t="str">
        <f t="shared" si="1"/>
        <v>Daryl West</v>
      </c>
      <c r="C393" s="54">
        <v>1903.0</v>
      </c>
      <c r="D393" s="10">
        <v>9.0</v>
      </c>
      <c r="E393" s="54" t="s">
        <v>33</v>
      </c>
      <c r="F393" s="54" t="s">
        <v>19</v>
      </c>
      <c r="G393" s="55" t="s">
        <v>448</v>
      </c>
      <c r="H393" s="56" t="s">
        <v>720</v>
      </c>
      <c r="I393" s="56" t="s">
        <v>721</v>
      </c>
      <c r="J393" s="9" t="str">
        <f t="shared" si="2"/>
        <v>West</v>
      </c>
    </row>
    <row r="394">
      <c r="A394" s="14" t="s">
        <v>447</v>
      </c>
      <c r="B394" s="14" t="str">
        <f t="shared" si="1"/>
        <v>Robert West</v>
      </c>
      <c r="C394" s="54">
        <v>1902.0</v>
      </c>
      <c r="D394" s="10">
        <v>10.0</v>
      </c>
      <c r="E394" s="54" t="s">
        <v>18</v>
      </c>
      <c r="F394" s="54" t="s">
        <v>19</v>
      </c>
      <c r="G394" s="55" t="s">
        <v>448</v>
      </c>
      <c r="H394" s="56" t="s">
        <v>720</v>
      </c>
      <c r="I394" s="56" t="s">
        <v>603</v>
      </c>
      <c r="J394" s="9" t="str">
        <f t="shared" si="2"/>
        <v>West</v>
      </c>
    </row>
    <row r="395">
      <c r="A395" s="14" t="s">
        <v>447</v>
      </c>
      <c r="B395" s="14" t="str">
        <f t="shared" si="1"/>
        <v>Rosie West</v>
      </c>
      <c r="C395" s="54">
        <v>1876.0</v>
      </c>
      <c r="D395" s="10">
        <v>36.0</v>
      </c>
      <c r="E395" s="54" t="s">
        <v>12</v>
      </c>
      <c r="F395" s="54" t="s">
        <v>19</v>
      </c>
      <c r="G395" s="55" t="s">
        <v>448</v>
      </c>
      <c r="H395" s="56" t="s">
        <v>720</v>
      </c>
      <c r="I395" s="56" t="s">
        <v>666</v>
      </c>
      <c r="J395" s="9" t="str">
        <f t="shared" si="2"/>
        <v>West</v>
      </c>
    </row>
    <row r="396">
      <c r="A396" s="14" t="s">
        <v>447</v>
      </c>
      <c r="B396" s="14" t="str">
        <f t="shared" si="1"/>
        <v>Charlotte Williams</v>
      </c>
      <c r="C396" s="54">
        <v>1862.0</v>
      </c>
      <c r="D396" s="10">
        <v>50.0</v>
      </c>
      <c r="E396" s="54" t="s">
        <v>33</v>
      </c>
      <c r="F396" s="54" t="s">
        <v>19</v>
      </c>
      <c r="G396" s="55" t="s">
        <v>448</v>
      </c>
      <c r="H396" s="56" t="s">
        <v>722</v>
      </c>
      <c r="I396" s="56" t="s">
        <v>496</v>
      </c>
      <c r="J396" s="9" t="str">
        <f t="shared" si="2"/>
        <v>Williams</v>
      </c>
    </row>
    <row r="397">
      <c r="A397" s="14" t="s">
        <v>447</v>
      </c>
      <c r="B397" s="14" t="str">
        <f t="shared" si="1"/>
        <v>Abigail Wilson</v>
      </c>
      <c r="C397" s="54">
        <v>1908.0</v>
      </c>
      <c r="D397" s="10">
        <v>4.0</v>
      </c>
      <c r="E397" s="54" t="s">
        <v>12</v>
      </c>
      <c r="F397" s="54" t="s">
        <v>19</v>
      </c>
      <c r="G397" s="55" t="s">
        <v>448</v>
      </c>
      <c r="H397" s="56" t="s">
        <v>723</v>
      </c>
      <c r="I397" s="56" t="s">
        <v>597</v>
      </c>
      <c r="J397" s="9" t="str">
        <f t="shared" si="2"/>
        <v>Wilson</v>
      </c>
    </row>
    <row r="398">
      <c r="A398" s="14" t="s">
        <v>447</v>
      </c>
      <c r="B398" s="14" t="str">
        <f t="shared" si="1"/>
        <v>Aida Wilson</v>
      </c>
      <c r="C398" s="54">
        <v>1886.0</v>
      </c>
      <c r="D398" s="10">
        <v>26.0</v>
      </c>
      <c r="E398" s="54" t="s">
        <v>18</v>
      </c>
      <c r="F398" s="54" t="s">
        <v>19</v>
      </c>
      <c r="G398" s="55" t="s">
        <v>448</v>
      </c>
      <c r="H398" s="56" t="s">
        <v>723</v>
      </c>
      <c r="I398" s="56" t="s">
        <v>571</v>
      </c>
      <c r="J398" s="9" t="str">
        <f t="shared" si="2"/>
        <v>Wilson</v>
      </c>
    </row>
    <row r="399">
      <c r="A399" s="14" t="s">
        <v>447</v>
      </c>
      <c r="B399" s="14" t="str">
        <f t="shared" si="1"/>
        <v>Sawyer Wilson</v>
      </c>
      <c r="C399" s="54">
        <v>1907.0</v>
      </c>
      <c r="D399" s="10">
        <v>5.0</v>
      </c>
      <c r="E399" s="54" t="s">
        <v>12</v>
      </c>
      <c r="F399" s="54" t="s">
        <v>13</v>
      </c>
      <c r="G399" s="55" t="s">
        <v>448</v>
      </c>
      <c r="H399" s="56" t="s">
        <v>723</v>
      </c>
      <c r="I399" s="56" t="s">
        <v>458</v>
      </c>
      <c r="J399" s="9" t="str">
        <f t="shared" si="2"/>
        <v>Wilson</v>
      </c>
    </row>
    <row r="400">
      <c r="A400" s="14" t="s">
        <v>447</v>
      </c>
      <c r="B400" s="14" t="str">
        <f t="shared" si="1"/>
        <v>Adison Wright</v>
      </c>
      <c r="C400" s="54">
        <v>1873.0</v>
      </c>
      <c r="D400" s="10">
        <v>39.0</v>
      </c>
      <c r="E400" s="54" t="s">
        <v>22</v>
      </c>
      <c r="F400" s="54" t="s">
        <v>19</v>
      </c>
      <c r="G400" s="55" t="s">
        <v>448</v>
      </c>
      <c r="H400" s="56" t="s">
        <v>724</v>
      </c>
      <c r="I400" s="56" t="s">
        <v>605</v>
      </c>
      <c r="J400" s="9" t="str">
        <f t="shared" si="2"/>
        <v>Wright</v>
      </c>
    </row>
    <row r="401">
      <c r="A401" s="14" t="s">
        <v>447</v>
      </c>
      <c r="B401" s="14" t="str">
        <f t="shared" si="1"/>
        <v>Maya Wright</v>
      </c>
      <c r="C401" s="54">
        <v>1862.0</v>
      </c>
      <c r="D401" s="10">
        <v>50.0</v>
      </c>
      <c r="E401" s="54" t="s">
        <v>22</v>
      </c>
      <c r="F401" s="54" t="s">
        <v>19</v>
      </c>
      <c r="G401" s="55" t="s">
        <v>448</v>
      </c>
      <c r="H401" s="56" t="s">
        <v>724</v>
      </c>
      <c r="I401" s="56" t="s">
        <v>591</v>
      </c>
      <c r="J401" s="9" t="str">
        <f t="shared" si="2"/>
        <v>Wright</v>
      </c>
    </row>
    <row r="402">
      <c r="C402" s="60"/>
      <c r="D402" s="61"/>
      <c r="E402" s="12"/>
      <c r="F402" s="12"/>
      <c r="G402" s="55"/>
      <c r="H402" s="54"/>
      <c r="I402" s="54"/>
      <c r="J402" s="9" t="str">
        <f t="shared" si="2"/>
        <v/>
      </c>
    </row>
    <row r="403">
      <c r="C403" s="60"/>
      <c r="D403" s="61"/>
      <c r="E403" s="12"/>
      <c r="F403" s="12"/>
      <c r="G403" s="55"/>
      <c r="H403" s="54"/>
      <c r="I403" s="54"/>
      <c r="J403" s="9" t="str">
        <f t="shared" si="2"/>
        <v/>
      </c>
    </row>
    <row r="404">
      <c r="C404" s="60"/>
      <c r="D404" s="61"/>
      <c r="E404" s="12"/>
      <c r="F404" s="12"/>
      <c r="G404" s="55"/>
      <c r="H404" s="54"/>
      <c r="I404" s="54"/>
      <c r="J404" s="9" t="str">
        <f t="shared" si="2"/>
        <v/>
      </c>
    </row>
    <row r="405">
      <c r="C405" s="60"/>
      <c r="D405" s="61"/>
      <c r="E405" s="12"/>
      <c r="F405" s="12"/>
      <c r="G405" s="55"/>
      <c r="H405" s="54"/>
      <c r="I405" s="54"/>
      <c r="J405" s="9" t="str">
        <f t="shared" si="2"/>
        <v/>
      </c>
    </row>
    <row r="406">
      <c r="C406" s="60"/>
      <c r="D406" s="61"/>
      <c r="E406" s="12"/>
      <c r="F406" s="12"/>
      <c r="G406" s="55"/>
      <c r="H406" s="54"/>
      <c r="I406" s="54"/>
      <c r="J406" s="9" t="str">
        <f t="shared" si="2"/>
        <v/>
      </c>
    </row>
    <row r="407">
      <c r="C407" s="60"/>
      <c r="D407" s="61"/>
      <c r="E407" s="12"/>
      <c r="F407" s="12"/>
      <c r="G407" s="55"/>
      <c r="H407" s="54"/>
      <c r="I407" s="54"/>
      <c r="J407" s="9" t="str">
        <f t="shared" si="2"/>
        <v/>
      </c>
    </row>
    <row r="408">
      <c r="C408" s="60"/>
      <c r="D408" s="61"/>
      <c r="E408" s="12"/>
      <c r="F408" s="12"/>
      <c r="G408" s="55"/>
      <c r="H408" s="54"/>
      <c r="I408" s="54"/>
      <c r="J408" s="9" t="str">
        <f t="shared" si="2"/>
        <v/>
      </c>
    </row>
    <row r="409">
      <c r="C409" s="60"/>
      <c r="D409" s="61"/>
      <c r="E409" s="12"/>
      <c r="F409" s="12"/>
      <c r="G409" s="55"/>
      <c r="H409" s="54"/>
      <c r="I409" s="54"/>
      <c r="J409" s="9" t="str">
        <f t="shared" si="2"/>
        <v/>
      </c>
    </row>
    <row r="410">
      <c r="C410" s="60"/>
      <c r="D410" s="61"/>
      <c r="E410" s="12"/>
      <c r="F410" s="12"/>
      <c r="G410" s="55"/>
      <c r="H410" s="54"/>
      <c r="I410" s="54"/>
      <c r="J410" s="9" t="str">
        <f t="shared" si="2"/>
        <v/>
      </c>
    </row>
    <row r="411">
      <c r="C411" s="60"/>
      <c r="D411" s="61"/>
      <c r="E411" s="12"/>
      <c r="F411" s="12"/>
      <c r="G411" s="55"/>
      <c r="H411" s="54"/>
      <c r="I411" s="54"/>
      <c r="J411" s="9" t="str">
        <f t="shared" si="2"/>
        <v/>
      </c>
    </row>
    <row r="412">
      <c r="C412" s="60"/>
      <c r="D412" s="61"/>
      <c r="E412" s="12"/>
      <c r="F412" s="12"/>
      <c r="G412" s="55"/>
      <c r="H412" s="54"/>
      <c r="I412" s="54"/>
      <c r="J412" s="9" t="str">
        <f t="shared" si="2"/>
        <v/>
      </c>
    </row>
    <row r="413">
      <c r="C413" s="60"/>
      <c r="D413" s="61"/>
      <c r="E413" s="12"/>
      <c r="F413" s="12"/>
      <c r="G413" s="55"/>
      <c r="H413" s="54"/>
      <c r="I413" s="54"/>
      <c r="J413" s="9" t="str">
        <f t="shared" si="2"/>
        <v/>
      </c>
    </row>
    <row r="414">
      <c r="C414" s="60"/>
      <c r="D414" s="61"/>
      <c r="E414" s="12"/>
      <c r="F414" s="12"/>
      <c r="G414" s="55"/>
      <c r="H414" s="54"/>
      <c r="I414" s="54"/>
      <c r="J414" s="9" t="str">
        <f t="shared" si="2"/>
        <v/>
      </c>
    </row>
    <row r="415">
      <c r="C415" s="60"/>
      <c r="D415" s="61"/>
      <c r="E415" s="12"/>
      <c r="F415" s="12"/>
      <c r="G415" s="55"/>
      <c r="H415" s="54"/>
      <c r="I415" s="54"/>
      <c r="J415" s="9" t="str">
        <f t="shared" si="2"/>
        <v/>
      </c>
    </row>
    <row r="416">
      <c r="C416" s="60"/>
      <c r="D416" s="61"/>
      <c r="E416" s="12"/>
      <c r="F416" s="12"/>
      <c r="G416" s="55"/>
      <c r="H416" s="54"/>
      <c r="I416" s="54"/>
      <c r="J416" s="9" t="str">
        <f t="shared" si="2"/>
        <v/>
      </c>
    </row>
    <row r="417">
      <c r="C417" s="60"/>
      <c r="D417" s="61"/>
      <c r="E417" s="12"/>
      <c r="F417" s="12"/>
      <c r="G417" s="55"/>
      <c r="H417" s="54"/>
      <c r="I417" s="54"/>
      <c r="J417" s="9" t="str">
        <f t="shared" si="2"/>
        <v/>
      </c>
    </row>
    <row r="418">
      <c r="C418" s="60"/>
      <c r="D418" s="61"/>
      <c r="E418" s="12"/>
      <c r="F418" s="12"/>
      <c r="G418" s="55"/>
      <c r="H418" s="12"/>
      <c r="I418" s="12"/>
      <c r="J418" s="9" t="str">
        <f t="shared" si="2"/>
        <v/>
      </c>
    </row>
    <row r="419">
      <c r="C419" s="60"/>
      <c r="D419" s="61"/>
      <c r="E419" s="12"/>
      <c r="F419" s="12"/>
      <c r="G419" s="55"/>
      <c r="H419" s="12"/>
      <c r="I419" s="12"/>
      <c r="J419" s="9" t="str">
        <f t="shared" si="2"/>
        <v/>
      </c>
    </row>
    <row r="420">
      <c r="C420" s="60"/>
      <c r="D420" s="61"/>
      <c r="E420" s="12"/>
      <c r="F420" s="12"/>
      <c r="G420" s="55"/>
      <c r="H420" s="12"/>
      <c r="I420" s="12"/>
      <c r="J420" s="9" t="str">
        <f t="shared" si="2"/>
        <v/>
      </c>
    </row>
    <row r="421">
      <c r="C421" s="60"/>
      <c r="D421" s="61"/>
      <c r="E421" s="12"/>
      <c r="F421" s="12"/>
      <c r="G421" s="55"/>
      <c r="H421" s="12"/>
      <c r="I421" s="12"/>
      <c r="J421" s="9" t="str">
        <f t="shared" si="2"/>
        <v/>
      </c>
    </row>
    <row r="422">
      <c r="C422" s="60"/>
      <c r="D422" s="61"/>
      <c r="E422" s="12"/>
      <c r="F422" s="12"/>
      <c r="G422" s="55"/>
      <c r="H422" s="12"/>
      <c r="I422" s="12"/>
      <c r="J422" s="9" t="str">
        <f t="shared" si="2"/>
        <v/>
      </c>
    </row>
    <row r="423">
      <c r="C423" s="60"/>
      <c r="D423" s="61"/>
      <c r="E423" s="12"/>
      <c r="F423" s="12"/>
      <c r="G423" s="55"/>
      <c r="H423" s="12"/>
      <c r="I423" s="12"/>
      <c r="J423" s="9" t="str">
        <f t="shared" si="2"/>
        <v/>
      </c>
    </row>
    <row r="424">
      <c r="C424" s="12"/>
      <c r="D424" s="12"/>
      <c r="E424" s="12"/>
      <c r="F424" s="12"/>
      <c r="G424" s="55"/>
      <c r="H424" s="12"/>
      <c r="I424" s="12"/>
      <c r="J424" s="9" t="str">
        <f t="shared" si="2"/>
        <v/>
      </c>
    </row>
    <row r="425">
      <c r="C425" s="57"/>
      <c r="D425" s="58"/>
      <c r="E425" s="12"/>
      <c r="F425" s="57"/>
      <c r="G425" s="55"/>
      <c r="H425" s="12"/>
      <c r="I425" s="12"/>
      <c r="J425" s="9" t="str">
        <f t="shared" si="2"/>
        <v/>
      </c>
    </row>
    <row r="426">
      <c r="C426" s="12"/>
      <c r="D426" s="61"/>
      <c r="E426" s="12"/>
      <c r="F426" s="12"/>
      <c r="G426" s="55"/>
      <c r="H426" s="12"/>
      <c r="I426" s="12"/>
      <c r="J426" s="9" t="str">
        <f t="shared" si="2"/>
        <v/>
      </c>
    </row>
    <row r="427">
      <c r="C427" s="12"/>
      <c r="D427" s="61"/>
      <c r="E427" s="12"/>
      <c r="F427" s="12"/>
      <c r="G427" s="55"/>
      <c r="H427" s="12"/>
      <c r="I427" s="12"/>
      <c r="J427" s="9" t="str">
        <f t="shared" si="2"/>
        <v/>
      </c>
    </row>
    <row r="428">
      <c r="C428" s="57"/>
      <c r="D428" s="58"/>
      <c r="E428" s="12"/>
      <c r="F428" s="57"/>
      <c r="G428" s="55"/>
      <c r="H428" s="12"/>
      <c r="I428" s="12"/>
      <c r="J428" s="9" t="str">
        <f t="shared" si="2"/>
        <v/>
      </c>
    </row>
    <row r="429">
      <c r="C429" s="57"/>
      <c r="D429" s="58"/>
      <c r="E429" s="12"/>
      <c r="F429" s="57"/>
      <c r="G429" s="55"/>
      <c r="H429" s="12"/>
      <c r="I429" s="12"/>
      <c r="J429" s="9" t="str">
        <f t="shared" si="2"/>
        <v/>
      </c>
    </row>
    <row r="430">
      <c r="C430" s="57"/>
      <c r="D430" s="58"/>
      <c r="E430" s="12"/>
      <c r="F430" s="57"/>
      <c r="G430" s="55"/>
      <c r="H430" s="12"/>
      <c r="I430" s="12"/>
      <c r="J430" s="9" t="str">
        <f t="shared" si="2"/>
        <v/>
      </c>
    </row>
    <row r="431">
      <c r="C431" s="12"/>
      <c r="D431" s="61"/>
      <c r="E431" s="12"/>
      <c r="F431" s="12"/>
      <c r="G431" s="55"/>
      <c r="H431" s="12"/>
      <c r="I431" s="12"/>
      <c r="J431" s="9" t="str">
        <f t="shared" si="2"/>
        <v/>
      </c>
    </row>
    <row r="432">
      <c r="C432" s="12"/>
      <c r="D432" s="61"/>
      <c r="E432" s="12"/>
      <c r="F432" s="12"/>
      <c r="G432" s="55"/>
      <c r="H432" s="12"/>
      <c r="I432" s="12"/>
      <c r="J432" s="9" t="str">
        <f t="shared" si="2"/>
        <v/>
      </c>
    </row>
    <row r="433">
      <c r="C433" s="12"/>
      <c r="D433" s="61"/>
      <c r="E433" s="12"/>
      <c r="F433" s="12"/>
      <c r="G433" s="55"/>
      <c r="H433" s="12"/>
      <c r="I433" s="12"/>
      <c r="J433" s="9" t="str">
        <f t="shared" si="2"/>
        <v/>
      </c>
    </row>
    <row r="434">
      <c r="C434" s="60"/>
      <c r="D434" s="61"/>
      <c r="E434" s="12"/>
      <c r="F434" s="12"/>
      <c r="G434" s="55"/>
      <c r="H434" s="12"/>
      <c r="I434" s="12"/>
      <c r="J434" s="9" t="str">
        <f t="shared" si="2"/>
        <v/>
      </c>
    </row>
    <row r="435">
      <c r="C435" s="60"/>
      <c r="D435" s="61"/>
      <c r="E435" s="12"/>
      <c r="F435" s="12"/>
      <c r="G435" s="55"/>
      <c r="H435" s="12"/>
      <c r="I435" s="12"/>
      <c r="J435" s="9" t="str">
        <f t="shared" si="2"/>
        <v/>
      </c>
    </row>
    <row r="436">
      <c r="C436" s="60"/>
      <c r="D436" s="61"/>
      <c r="E436" s="12"/>
      <c r="F436" s="12"/>
      <c r="G436" s="55"/>
      <c r="H436" s="12"/>
      <c r="I436" s="12"/>
      <c r="J436" s="9" t="str">
        <f t="shared" si="2"/>
        <v/>
      </c>
    </row>
    <row r="437">
      <c r="C437" s="60"/>
      <c r="D437" s="61"/>
      <c r="E437" s="12"/>
      <c r="F437" s="12"/>
      <c r="G437" s="55"/>
      <c r="H437" s="12"/>
      <c r="I437" s="12"/>
      <c r="J437" s="9" t="str">
        <f t="shared" si="2"/>
        <v/>
      </c>
    </row>
    <row r="438">
      <c r="C438" s="60"/>
      <c r="D438" s="61"/>
      <c r="E438" s="12"/>
      <c r="F438" s="12"/>
      <c r="G438" s="55"/>
      <c r="H438" s="12"/>
      <c r="I438" s="12"/>
      <c r="J438" s="9" t="str">
        <f t="shared" si="2"/>
        <v/>
      </c>
    </row>
    <row r="439">
      <c r="C439" s="60"/>
      <c r="D439" s="61"/>
      <c r="E439" s="12"/>
      <c r="F439" s="12"/>
      <c r="G439" s="55"/>
      <c r="H439" s="12"/>
      <c r="I439" s="12"/>
      <c r="J439" s="9" t="str">
        <f t="shared" si="2"/>
        <v/>
      </c>
    </row>
    <row r="440">
      <c r="C440" s="60"/>
      <c r="D440" s="61"/>
      <c r="E440" s="12"/>
      <c r="F440" s="12"/>
      <c r="G440" s="55"/>
      <c r="H440" s="12"/>
      <c r="I440" s="12"/>
      <c r="J440" s="9" t="str">
        <f t="shared" si="2"/>
        <v/>
      </c>
    </row>
    <row r="441">
      <c r="C441" s="60"/>
      <c r="D441" s="61"/>
      <c r="E441" s="12"/>
      <c r="F441" s="12"/>
      <c r="G441" s="55"/>
      <c r="H441" s="12"/>
      <c r="I441" s="12"/>
      <c r="J441" s="9" t="str">
        <f t="shared" si="2"/>
        <v/>
      </c>
    </row>
    <row r="442">
      <c r="C442" s="60"/>
      <c r="D442" s="61"/>
      <c r="E442" s="12"/>
      <c r="F442" s="12"/>
      <c r="G442" s="55"/>
      <c r="H442" s="12"/>
      <c r="I442" s="12"/>
      <c r="J442" s="9" t="str">
        <f t="shared" si="2"/>
        <v/>
      </c>
    </row>
    <row r="443">
      <c r="C443" s="60"/>
      <c r="D443" s="61"/>
      <c r="E443" s="12"/>
      <c r="F443" s="12"/>
      <c r="G443" s="55"/>
      <c r="H443" s="12"/>
      <c r="I443" s="12"/>
      <c r="J443" s="9" t="str">
        <f t="shared" si="2"/>
        <v/>
      </c>
    </row>
    <row r="444">
      <c r="C444" s="60"/>
      <c r="D444" s="61"/>
      <c r="E444" s="12"/>
      <c r="F444" s="12"/>
      <c r="G444" s="55"/>
      <c r="H444" s="12"/>
      <c r="I444" s="12"/>
      <c r="J444" s="9" t="str">
        <f t="shared" si="2"/>
        <v/>
      </c>
    </row>
    <row r="445">
      <c r="C445" s="60"/>
      <c r="D445" s="61"/>
      <c r="E445" s="12"/>
      <c r="F445" s="12"/>
      <c r="G445" s="55"/>
      <c r="H445" s="12"/>
      <c r="I445" s="12"/>
      <c r="J445" s="9" t="str">
        <f t="shared" si="2"/>
        <v/>
      </c>
    </row>
    <row r="446">
      <c r="C446" s="60"/>
      <c r="D446" s="61"/>
      <c r="E446" s="12"/>
      <c r="F446" s="12"/>
      <c r="G446" s="55"/>
      <c r="H446" s="12"/>
      <c r="I446" s="12"/>
      <c r="J446" s="9" t="str">
        <f t="shared" si="2"/>
        <v/>
      </c>
    </row>
    <row r="447">
      <c r="C447" s="60"/>
      <c r="D447" s="61"/>
      <c r="E447" s="12"/>
      <c r="F447" s="12"/>
      <c r="G447" s="55"/>
      <c r="H447" s="12"/>
      <c r="I447" s="12"/>
      <c r="J447" s="9" t="str">
        <f t="shared" si="2"/>
        <v/>
      </c>
    </row>
    <row r="448">
      <c r="C448" s="60"/>
      <c r="D448" s="61"/>
      <c r="E448" s="12"/>
      <c r="F448" s="12"/>
      <c r="G448" s="55"/>
      <c r="H448" s="12"/>
      <c r="I448" s="12"/>
      <c r="J448" s="9" t="str">
        <f t="shared" si="2"/>
        <v/>
      </c>
    </row>
    <row r="449">
      <c r="C449" s="60"/>
      <c r="D449" s="61"/>
      <c r="E449" s="12"/>
      <c r="F449" s="12"/>
      <c r="G449" s="55"/>
      <c r="H449" s="12"/>
      <c r="I449" s="12"/>
      <c r="J449" s="9" t="str">
        <f t="shared" si="2"/>
        <v/>
      </c>
    </row>
    <row r="450">
      <c r="C450" s="60"/>
      <c r="D450" s="61"/>
      <c r="E450" s="12"/>
      <c r="F450" s="12"/>
      <c r="G450" s="55"/>
      <c r="H450" s="12"/>
      <c r="I450" s="12"/>
      <c r="J450" s="9" t="str">
        <f t="shared" si="2"/>
        <v/>
      </c>
    </row>
    <row r="451">
      <c r="C451" s="60"/>
      <c r="D451" s="61"/>
      <c r="E451" s="12"/>
      <c r="F451" s="12"/>
      <c r="G451" s="55"/>
      <c r="H451" s="12"/>
      <c r="I451" s="12"/>
      <c r="J451" s="9" t="str">
        <f t="shared" si="2"/>
        <v/>
      </c>
    </row>
    <row r="452">
      <c r="C452" s="60"/>
      <c r="D452" s="61"/>
      <c r="E452" s="12"/>
      <c r="F452" s="12"/>
      <c r="G452" s="55"/>
      <c r="H452" s="12"/>
      <c r="I452" s="12"/>
      <c r="J452" s="9" t="str">
        <f t="shared" si="2"/>
        <v/>
      </c>
    </row>
    <row r="453">
      <c r="C453" s="60"/>
      <c r="D453" s="61"/>
      <c r="E453" s="12"/>
      <c r="F453" s="12"/>
      <c r="G453" s="55"/>
      <c r="H453" s="12"/>
      <c r="I453" s="12"/>
      <c r="J453" s="9" t="str">
        <f t="shared" si="2"/>
        <v/>
      </c>
    </row>
    <row r="454">
      <c r="C454" s="60"/>
      <c r="D454" s="61"/>
      <c r="E454" s="12"/>
      <c r="F454" s="12"/>
      <c r="G454" s="55"/>
      <c r="H454" s="12"/>
      <c r="I454" s="12"/>
      <c r="J454" s="9" t="str">
        <f t="shared" si="2"/>
        <v/>
      </c>
    </row>
    <row r="455">
      <c r="C455" s="60"/>
      <c r="D455" s="61"/>
      <c r="E455" s="12"/>
      <c r="F455" s="12"/>
      <c r="G455" s="55"/>
      <c r="H455" s="12"/>
      <c r="I455" s="12"/>
      <c r="J455" s="9" t="str">
        <f t="shared" si="2"/>
        <v/>
      </c>
    </row>
    <row r="456">
      <c r="C456" s="60"/>
      <c r="D456" s="61"/>
      <c r="E456" s="12"/>
      <c r="F456" s="12"/>
      <c r="G456" s="55"/>
      <c r="H456" s="12"/>
      <c r="I456" s="12"/>
      <c r="J456" s="9" t="str">
        <f t="shared" si="2"/>
        <v/>
      </c>
    </row>
    <row r="457">
      <c r="C457" s="60"/>
      <c r="D457" s="61"/>
      <c r="E457" s="12"/>
      <c r="F457" s="12"/>
      <c r="G457" s="55"/>
      <c r="H457" s="12"/>
      <c r="I457" s="12"/>
      <c r="J457" s="9" t="str">
        <f t="shared" si="2"/>
        <v/>
      </c>
    </row>
    <row r="458">
      <c r="C458" s="60"/>
      <c r="D458" s="61"/>
      <c r="E458" s="12"/>
      <c r="F458" s="12"/>
      <c r="G458" s="55"/>
      <c r="H458" s="12"/>
      <c r="I458" s="12"/>
      <c r="J458" s="9" t="str">
        <f t="shared" si="2"/>
        <v/>
      </c>
    </row>
    <row r="459">
      <c r="C459" s="60"/>
      <c r="D459" s="61"/>
      <c r="E459" s="12"/>
      <c r="F459" s="12"/>
      <c r="G459" s="55"/>
      <c r="H459" s="12"/>
      <c r="I459" s="12"/>
      <c r="J459" s="9" t="str">
        <f t="shared" si="2"/>
        <v/>
      </c>
    </row>
    <row r="460">
      <c r="C460" s="60"/>
      <c r="D460" s="61"/>
      <c r="E460" s="12"/>
      <c r="F460" s="12"/>
      <c r="G460" s="55"/>
      <c r="H460" s="12"/>
      <c r="I460" s="12"/>
      <c r="J460" s="9" t="str">
        <f t="shared" si="2"/>
        <v/>
      </c>
    </row>
    <row r="461">
      <c r="C461" s="60"/>
      <c r="D461" s="61"/>
      <c r="E461" s="12"/>
      <c r="F461" s="12"/>
      <c r="G461" s="55"/>
      <c r="H461" s="12"/>
      <c r="I461" s="12"/>
      <c r="J461" s="9" t="str">
        <f t="shared" si="2"/>
        <v/>
      </c>
    </row>
    <row r="462">
      <c r="C462" s="60"/>
      <c r="D462" s="61"/>
      <c r="E462" s="12"/>
      <c r="F462" s="12"/>
      <c r="G462" s="55"/>
      <c r="H462" s="12"/>
      <c r="I462" s="12"/>
      <c r="J462" s="9" t="str">
        <f t="shared" si="2"/>
        <v/>
      </c>
    </row>
    <row r="463">
      <c r="C463" s="60"/>
      <c r="D463" s="61"/>
      <c r="E463" s="12"/>
      <c r="F463" s="12"/>
      <c r="G463" s="55"/>
      <c r="H463" s="12"/>
      <c r="I463" s="12"/>
      <c r="J463" s="9" t="str">
        <f t="shared" si="2"/>
        <v/>
      </c>
    </row>
    <row r="464">
      <c r="C464" s="60"/>
      <c r="D464" s="61"/>
      <c r="E464" s="12"/>
      <c r="F464" s="12"/>
      <c r="G464" s="55"/>
      <c r="H464" s="12"/>
      <c r="I464" s="12"/>
      <c r="J464" s="9" t="str">
        <f t="shared" si="2"/>
        <v/>
      </c>
    </row>
    <row r="465">
      <c r="C465" s="60"/>
      <c r="D465" s="61"/>
      <c r="E465" s="12"/>
      <c r="F465" s="12"/>
      <c r="G465" s="55"/>
      <c r="H465" s="12"/>
      <c r="I465" s="12"/>
      <c r="J465" s="9" t="str">
        <f t="shared" si="2"/>
        <v/>
      </c>
    </row>
    <row r="466">
      <c r="C466" s="60"/>
      <c r="D466" s="61"/>
      <c r="E466" s="12"/>
      <c r="F466" s="12"/>
      <c r="G466" s="55"/>
      <c r="H466" s="12"/>
      <c r="I466" s="12"/>
      <c r="J466" s="9" t="str">
        <f t="shared" si="2"/>
        <v/>
      </c>
    </row>
    <row r="467">
      <c r="C467" s="60"/>
      <c r="D467" s="61"/>
      <c r="E467" s="12"/>
      <c r="F467" s="12"/>
      <c r="G467" s="55"/>
      <c r="H467" s="12"/>
      <c r="I467" s="12"/>
      <c r="J467" s="9" t="str">
        <f t="shared" si="2"/>
        <v/>
      </c>
    </row>
    <row r="468">
      <c r="C468" s="60"/>
      <c r="D468" s="61"/>
      <c r="E468" s="12"/>
      <c r="F468" s="12"/>
      <c r="G468" s="55"/>
      <c r="H468" s="12"/>
      <c r="I468" s="12"/>
      <c r="J468" s="9" t="str">
        <f t="shared" si="2"/>
        <v/>
      </c>
    </row>
    <row r="469">
      <c r="C469" s="60"/>
      <c r="D469" s="61"/>
      <c r="E469" s="12"/>
      <c r="F469" s="12"/>
      <c r="G469" s="55"/>
      <c r="H469" s="12"/>
      <c r="I469" s="12"/>
      <c r="J469" s="9" t="str">
        <f t="shared" si="2"/>
        <v/>
      </c>
    </row>
    <row r="470">
      <c r="C470" s="60"/>
      <c r="D470" s="61"/>
      <c r="E470" s="12"/>
      <c r="F470" s="12"/>
      <c r="G470" s="55"/>
      <c r="H470" s="12"/>
      <c r="I470" s="12"/>
      <c r="J470" s="9" t="str">
        <f t="shared" si="2"/>
        <v/>
      </c>
    </row>
    <row r="471">
      <c r="C471" s="60"/>
      <c r="D471" s="61"/>
      <c r="E471" s="12"/>
      <c r="F471" s="12"/>
      <c r="G471" s="55"/>
      <c r="H471" s="12"/>
      <c r="I471" s="12"/>
      <c r="J471" s="9" t="str">
        <f t="shared" si="2"/>
        <v/>
      </c>
    </row>
    <row r="472">
      <c r="C472" s="60"/>
      <c r="D472" s="61"/>
      <c r="E472" s="12"/>
      <c r="F472" s="12"/>
      <c r="G472" s="55"/>
      <c r="H472" s="12"/>
      <c r="I472" s="12"/>
      <c r="J472" s="9" t="str">
        <f t="shared" si="2"/>
        <v/>
      </c>
    </row>
    <row r="473">
      <c r="C473" s="60"/>
      <c r="D473" s="61"/>
      <c r="E473" s="12"/>
      <c r="F473" s="12"/>
      <c r="G473" s="55"/>
      <c r="H473" s="12"/>
      <c r="I473" s="12"/>
      <c r="J473" s="9" t="str">
        <f t="shared" si="2"/>
        <v/>
      </c>
    </row>
    <row r="474">
      <c r="C474" s="60"/>
      <c r="D474" s="61"/>
      <c r="E474" s="12"/>
      <c r="F474" s="12"/>
      <c r="G474" s="55"/>
      <c r="H474" s="12"/>
      <c r="I474" s="12"/>
      <c r="J474" s="9" t="str">
        <f t="shared" si="2"/>
        <v/>
      </c>
    </row>
    <row r="475">
      <c r="C475" s="60"/>
      <c r="D475" s="61"/>
      <c r="E475" s="12"/>
      <c r="F475" s="12"/>
      <c r="G475" s="55"/>
      <c r="H475" s="12"/>
      <c r="I475" s="12"/>
      <c r="J475" s="9" t="str">
        <f t="shared" si="2"/>
        <v/>
      </c>
    </row>
    <row r="476">
      <c r="C476" s="60"/>
      <c r="D476" s="61"/>
      <c r="E476" s="12"/>
      <c r="F476" s="12"/>
      <c r="G476" s="55"/>
      <c r="H476" s="12"/>
      <c r="I476" s="12"/>
      <c r="J476" s="9" t="str">
        <f t="shared" si="2"/>
        <v/>
      </c>
    </row>
    <row r="477">
      <c r="C477" s="57"/>
      <c r="D477" s="58"/>
      <c r="E477" s="12"/>
      <c r="F477" s="57"/>
      <c r="G477" s="55"/>
      <c r="H477" s="12"/>
      <c r="I477" s="12"/>
      <c r="J477" s="9" t="str">
        <f t="shared" si="2"/>
        <v/>
      </c>
    </row>
    <row r="478">
      <c r="C478" s="60"/>
      <c r="D478" s="61"/>
      <c r="E478" s="12"/>
      <c r="F478" s="12"/>
      <c r="G478" s="55"/>
      <c r="H478" s="12"/>
      <c r="I478" s="12"/>
      <c r="J478" s="9" t="str">
        <f t="shared" si="2"/>
        <v/>
      </c>
    </row>
    <row r="479">
      <c r="C479" s="60"/>
      <c r="D479" s="61"/>
      <c r="E479" s="12"/>
      <c r="F479" s="12"/>
      <c r="G479" s="55"/>
      <c r="H479" s="12"/>
      <c r="I479" s="12"/>
      <c r="J479" s="9" t="str">
        <f t="shared" si="2"/>
        <v/>
      </c>
    </row>
    <row r="480">
      <c r="C480" s="60"/>
      <c r="D480" s="61"/>
      <c r="E480" s="12"/>
      <c r="F480" s="12"/>
      <c r="G480" s="55"/>
      <c r="H480" s="12"/>
      <c r="I480" s="12"/>
      <c r="J480" s="9" t="str">
        <f t="shared" si="2"/>
        <v/>
      </c>
    </row>
    <row r="481">
      <c r="C481" s="60"/>
      <c r="D481" s="61"/>
      <c r="E481" s="12"/>
      <c r="F481" s="12"/>
      <c r="G481" s="55"/>
      <c r="H481" s="12"/>
      <c r="I481" s="12"/>
      <c r="J481" s="9" t="str">
        <f t="shared" si="2"/>
        <v/>
      </c>
    </row>
    <row r="482">
      <c r="C482" s="60"/>
      <c r="D482" s="61"/>
      <c r="E482" s="12"/>
      <c r="F482" s="12"/>
      <c r="G482" s="55"/>
      <c r="H482" s="12"/>
      <c r="I482" s="12"/>
      <c r="J482" s="9" t="str">
        <f t="shared" si="2"/>
        <v/>
      </c>
    </row>
    <row r="483">
      <c r="C483" s="60"/>
      <c r="D483" s="61"/>
      <c r="E483" s="12"/>
      <c r="F483" s="12"/>
      <c r="G483" s="55"/>
      <c r="H483" s="12"/>
      <c r="I483" s="12"/>
      <c r="J483" s="9" t="str">
        <f t="shared" si="2"/>
        <v/>
      </c>
    </row>
    <row r="484">
      <c r="C484" s="60"/>
      <c r="D484" s="61"/>
      <c r="E484" s="12"/>
      <c r="F484" s="12"/>
      <c r="G484" s="55"/>
      <c r="H484" s="12"/>
      <c r="I484" s="12"/>
      <c r="J484" s="9" t="str">
        <f t="shared" si="2"/>
        <v/>
      </c>
    </row>
    <row r="485">
      <c r="C485" s="60"/>
      <c r="D485" s="61"/>
      <c r="E485" s="12"/>
      <c r="F485" s="12"/>
      <c r="G485" s="55"/>
      <c r="H485" s="12"/>
      <c r="I485" s="12"/>
      <c r="J485" s="9" t="str">
        <f t="shared" si="2"/>
        <v/>
      </c>
    </row>
    <row r="486">
      <c r="C486" s="60"/>
      <c r="D486" s="61"/>
      <c r="E486" s="12"/>
      <c r="F486" s="12"/>
      <c r="G486" s="55"/>
      <c r="H486" s="12"/>
      <c r="I486" s="12"/>
      <c r="J486" s="9" t="str">
        <f t="shared" si="2"/>
        <v/>
      </c>
    </row>
    <row r="487">
      <c r="C487" s="60"/>
      <c r="D487" s="61"/>
      <c r="E487" s="12"/>
      <c r="F487" s="12"/>
      <c r="G487" s="55"/>
      <c r="H487" s="12"/>
      <c r="I487" s="12"/>
      <c r="J487" s="9" t="str">
        <f t="shared" si="2"/>
        <v/>
      </c>
    </row>
    <row r="488">
      <c r="C488" s="60"/>
      <c r="D488" s="61"/>
      <c r="E488" s="12"/>
      <c r="F488" s="12"/>
      <c r="G488" s="55"/>
      <c r="H488" s="12"/>
      <c r="I488" s="12"/>
      <c r="J488" s="9" t="str">
        <f t="shared" si="2"/>
        <v/>
      </c>
    </row>
    <row r="489">
      <c r="C489" s="60"/>
      <c r="D489" s="61"/>
      <c r="E489" s="12"/>
      <c r="F489" s="12"/>
      <c r="G489" s="55"/>
      <c r="H489" s="12"/>
      <c r="I489" s="12"/>
      <c r="J489" s="9" t="str">
        <f t="shared" si="2"/>
        <v/>
      </c>
    </row>
    <row r="490">
      <c r="C490" s="60"/>
      <c r="D490" s="61"/>
      <c r="E490" s="12"/>
      <c r="F490" s="12"/>
      <c r="G490" s="55"/>
      <c r="H490" s="12"/>
      <c r="I490" s="12"/>
      <c r="J490" s="9" t="str">
        <f t="shared" si="2"/>
        <v/>
      </c>
    </row>
    <row r="491">
      <c r="C491" s="60"/>
      <c r="D491" s="61"/>
      <c r="E491" s="12"/>
      <c r="F491" s="12"/>
      <c r="G491" s="55"/>
      <c r="H491" s="12"/>
      <c r="I491" s="12"/>
      <c r="J491" s="9" t="str">
        <f t="shared" si="2"/>
        <v/>
      </c>
    </row>
    <row r="492">
      <c r="C492" s="60"/>
      <c r="D492" s="61"/>
      <c r="E492" s="12"/>
      <c r="F492" s="12"/>
      <c r="G492" s="55"/>
      <c r="H492" s="12"/>
      <c r="I492" s="12"/>
      <c r="J492" s="9" t="str">
        <f t="shared" si="2"/>
        <v/>
      </c>
    </row>
    <row r="493">
      <c r="C493" s="60"/>
      <c r="D493" s="61"/>
      <c r="E493" s="12"/>
      <c r="F493" s="12"/>
      <c r="G493" s="55"/>
      <c r="H493" s="12"/>
      <c r="I493" s="12"/>
      <c r="J493" s="9" t="str">
        <f t="shared" si="2"/>
        <v/>
      </c>
    </row>
    <row r="494">
      <c r="C494" s="60"/>
      <c r="D494" s="61"/>
      <c r="E494" s="12"/>
      <c r="F494" s="12"/>
      <c r="G494" s="55"/>
      <c r="H494" s="12"/>
      <c r="I494" s="12"/>
      <c r="J494" s="9" t="str">
        <f t="shared" si="2"/>
        <v/>
      </c>
    </row>
    <row r="495">
      <c r="C495" s="60"/>
      <c r="D495" s="61"/>
      <c r="E495" s="12"/>
      <c r="F495" s="12"/>
      <c r="G495" s="55"/>
      <c r="H495" s="12"/>
      <c r="I495" s="12"/>
      <c r="J495" s="9" t="str">
        <f t="shared" si="2"/>
        <v/>
      </c>
    </row>
    <row r="496">
      <c r="C496" s="60"/>
      <c r="D496" s="61"/>
      <c r="E496" s="12"/>
      <c r="F496" s="12"/>
      <c r="G496" s="55"/>
      <c r="H496" s="12"/>
      <c r="I496" s="12"/>
      <c r="J496" s="9" t="str">
        <f t="shared" si="2"/>
        <v/>
      </c>
    </row>
    <row r="497">
      <c r="C497" s="60"/>
      <c r="D497" s="61"/>
      <c r="E497" s="12"/>
      <c r="F497" s="12"/>
      <c r="G497" s="55"/>
      <c r="H497" s="12"/>
      <c r="I497" s="12"/>
      <c r="J497" s="9" t="str">
        <f t="shared" si="2"/>
        <v/>
      </c>
    </row>
    <row r="498">
      <c r="C498" s="60"/>
      <c r="D498" s="61"/>
      <c r="E498" s="12"/>
      <c r="F498" s="12"/>
      <c r="G498" s="55"/>
      <c r="H498" s="12"/>
      <c r="I498" s="12"/>
      <c r="J498" s="9" t="str">
        <f t="shared" si="2"/>
        <v/>
      </c>
    </row>
    <row r="499">
      <c r="C499" s="60"/>
      <c r="D499" s="61"/>
      <c r="E499" s="12"/>
      <c r="F499" s="12"/>
      <c r="G499" s="55"/>
      <c r="H499" s="12"/>
      <c r="I499" s="12"/>
      <c r="J499" s="9" t="str">
        <f t="shared" si="2"/>
        <v/>
      </c>
    </row>
    <row r="500">
      <c r="C500" s="60"/>
      <c r="D500" s="61"/>
      <c r="E500" s="12"/>
      <c r="F500" s="12"/>
      <c r="G500" s="55"/>
      <c r="H500" s="12"/>
      <c r="I500" s="12"/>
      <c r="J500" s="9" t="str">
        <f t="shared" si="2"/>
        <v/>
      </c>
    </row>
    <row r="501">
      <c r="C501" s="60"/>
      <c r="D501" s="61"/>
      <c r="E501" s="12"/>
      <c r="F501" s="12"/>
      <c r="G501" s="55"/>
      <c r="H501" s="12"/>
      <c r="I501" s="12"/>
      <c r="J501" s="9" t="str">
        <f t="shared" si="2"/>
        <v/>
      </c>
    </row>
    <row r="502">
      <c r="C502" s="54"/>
      <c r="D502" s="59"/>
      <c r="E502" s="54"/>
      <c r="F502" s="54"/>
      <c r="G502" s="55"/>
      <c r="H502" s="12"/>
      <c r="I502" s="12"/>
      <c r="J502" s="9" t="str">
        <f t="shared" si="2"/>
        <v/>
      </c>
    </row>
    <row r="503">
      <c r="C503" s="60"/>
      <c r="D503" s="61"/>
      <c r="E503" s="12"/>
      <c r="F503" s="12"/>
      <c r="G503" s="55"/>
      <c r="H503" s="12"/>
      <c r="I503" s="12"/>
      <c r="J503" s="9" t="str">
        <f t="shared" si="2"/>
        <v/>
      </c>
    </row>
    <row r="504">
      <c r="C504" s="60"/>
      <c r="D504" s="61"/>
      <c r="E504" s="12"/>
      <c r="F504" s="12"/>
      <c r="G504" s="55"/>
      <c r="H504" s="12"/>
      <c r="I504" s="12"/>
      <c r="J504" s="9" t="str">
        <f t="shared" si="2"/>
        <v/>
      </c>
    </row>
    <row r="505">
      <c r="C505" s="60"/>
      <c r="D505" s="61"/>
      <c r="E505" s="12"/>
      <c r="F505" s="12"/>
      <c r="G505" s="55"/>
      <c r="H505" s="12"/>
      <c r="I505" s="12"/>
      <c r="J505" s="9" t="str">
        <f t="shared" si="2"/>
        <v/>
      </c>
    </row>
    <row r="506">
      <c r="C506" s="60"/>
      <c r="D506" s="61"/>
      <c r="E506" s="12"/>
      <c r="F506" s="12"/>
      <c r="G506" s="55"/>
      <c r="H506" s="12"/>
      <c r="I506" s="12"/>
      <c r="J506" s="9" t="str">
        <f t="shared" si="2"/>
        <v/>
      </c>
    </row>
    <row r="507">
      <c r="C507" s="60"/>
      <c r="D507" s="61"/>
      <c r="E507" s="12"/>
      <c r="F507" s="12"/>
      <c r="G507" s="55"/>
      <c r="H507" s="12"/>
      <c r="I507" s="12"/>
      <c r="J507" s="9" t="str">
        <f t="shared" si="2"/>
        <v/>
      </c>
    </row>
    <row r="508">
      <c r="C508" s="60"/>
      <c r="D508" s="61"/>
      <c r="E508" s="12"/>
      <c r="F508" s="12"/>
      <c r="G508" s="55"/>
      <c r="H508" s="12"/>
      <c r="I508" s="12"/>
      <c r="J508" s="9" t="str">
        <f t="shared" si="2"/>
        <v/>
      </c>
    </row>
    <row r="509">
      <c r="C509" s="60"/>
      <c r="D509" s="61"/>
      <c r="E509" s="12"/>
      <c r="F509" s="12"/>
      <c r="G509" s="55"/>
      <c r="H509" s="12"/>
      <c r="I509" s="12"/>
      <c r="J509" s="9" t="str">
        <f t="shared" si="2"/>
        <v/>
      </c>
    </row>
    <row r="510">
      <c r="C510" s="60"/>
      <c r="D510" s="61"/>
      <c r="E510" s="12"/>
      <c r="F510" s="12"/>
      <c r="G510" s="55"/>
      <c r="H510" s="12"/>
      <c r="I510" s="12"/>
      <c r="J510" s="9" t="str">
        <f t="shared" si="2"/>
        <v/>
      </c>
    </row>
    <row r="511">
      <c r="C511" s="60"/>
      <c r="D511" s="61"/>
      <c r="E511" s="12"/>
      <c r="F511" s="12"/>
      <c r="G511" s="55"/>
      <c r="H511" s="12"/>
      <c r="I511" s="12"/>
      <c r="J511" s="9" t="str">
        <f t="shared" si="2"/>
        <v/>
      </c>
    </row>
    <row r="512">
      <c r="C512" s="60"/>
      <c r="D512" s="61"/>
      <c r="E512" s="12"/>
      <c r="F512" s="12"/>
      <c r="G512" s="55"/>
      <c r="H512" s="12"/>
      <c r="I512" s="12"/>
      <c r="J512" s="9" t="str">
        <f t="shared" si="2"/>
        <v/>
      </c>
    </row>
    <row r="513">
      <c r="C513" s="60"/>
      <c r="D513" s="61"/>
      <c r="E513" s="12"/>
      <c r="F513" s="12"/>
      <c r="G513" s="55"/>
      <c r="H513" s="12"/>
      <c r="I513" s="12"/>
      <c r="J513" s="9" t="str">
        <f t="shared" si="2"/>
        <v/>
      </c>
    </row>
    <row r="514">
      <c r="C514" s="60"/>
      <c r="D514" s="61"/>
      <c r="E514" s="12"/>
      <c r="F514" s="12"/>
      <c r="G514" s="55"/>
      <c r="H514" s="12"/>
      <c r="I514" s="12"/>
      <c r="J514" s="9" t="str">
        <f t="shared" si="2"/>
        <v/>
      </c>
    </row>
    <row r="515">
      <c r="C515" s="60"/>
      <c r="D515" s="61"/>
      <c r="E515" s="12"/>
      <c r="F515" s="12"/>
      <c r="G515" s="55"/>
      <c r="H515" s="12"/>
      <c r="I515" s="12"/>
      <c r="J515" s="9" t="str">
        <f t="shared" si="2"/>
        <v/>
      </c>
    </row>
    <row r="516">
      <c r="C516" s="60"/>
      <c r="D516" s="61"/>
      <c r="E516" s="12"/>
      <c r="F516" s="12"/>
      <c r="G516" s="55"/>
      <c r="H516" s="12"/>
      <c r="I516" s="12"/>
      <c r="J516" s="9" t="str">
        <f t="shared" si="2"/>
        <v/>
      </c>
    </row>
    <row r="517">
      <c r="C517" s="60"/>
      <c r="D517" s="61"/>
      <c r="E517" s="12"/>
      <c r="F517" s="12"/>
      <c r="G517" s="55"/>
      <c r="H517" s="12"/>
      <c r="I517" s="12"/>
      <c r="J517" s="9" t="str">
        <f t="shared" si="2"/>
        <v/>
      </c>
    </row>
    <row r="518">
      <c r="C518" s="60"/>
      <c r="D518" s="61"/>
      <c r="E518" s="12"/>
      <c r="F518" s="12"/>
      <c r="G518" s="55"/>
      <c r="H518" s="12"/>
      <c r="I518" s="12"/>
      <c r="J518" s="9" t="str">
        <f t="shared" si="2"/>
        <v/>
      </c>
    </row>
    <row r="519">
      <c r="C519" s="60"/>
      <c r="D519" s="61"/>
      <c r="E519" s="12"/>
      <c r="F519" s="12"/>
      <c r="G519" s="55"/>
      <c r="H519" s="12"/>
      <c r="I519" s="12"/>
      <c r="J519" s="9" t="str">
        <f t="shared" si="2"/>
        <v/>
      </c>
    </row>
    <row r="520">
      <c r="C520" s="57"/>
      <c r="D520" s="58"/>
      <c r="E520" s="12"/>
      <c r="F520" s="12"/>
      <c r="G520" s="55"/>
      <c r="H520" s="12"/>
      <c r="I520" s="12"/>
      <c r="J520" s="9" t="str">
        <f t="shared" si="2"/>
        <v/>
      </c>
    </row>
    <row r="521">
      <c r="C521" s="60"/>
      <c r="D521" s="61"/>
      <c r="E521" s="12"/>
      <c r="F521" s="12"/>
      <c r="G521" s="55"/>
      <c r="H521" s="12"/>
      <c r="I521" s="12"/>
      <c r="J521" s="9" t="str">
        <f t="shared" si="2"/>
        <v/>
      </c>
    </row>
    <row r="522">
      <c r="C522" s="60"/>
      <c r="D522" s="61"/>
      <c r="E522" s="12"/>
      <c r="F522" s="12"/>
      <c r="G522" s="55"/>
      <c r="H522" s="12"/>
      <c r="I522" s="12"/>
      <c r="J522" s="9" t="str">
        <f t="shared" si="2"/>
        <v/>
      </c>
    </row>
    <row r="523">
      <c r="C523" s="60"/>
      <c r="D523" s="61"/>
      <c r="E523" s="12"/>
      <c r="F523" s="12"/>
      <c r="G523" s="55"/>
      <c r="H523" s="12"/>
      <c r="I523" s="12"/>
      <c r="J523" s="9" t="str">
        <f t="shared" si="2"/>
        <v/>
      </c>
    </row>
    <row r="524">
      <c r="C524" s="60"/>
      <c r="D524" s="61"/>
      <c r="E524" s="12"/>
      <c r="F524" s="12"/>
      <c r="G524" s="55"/>
      <c r="H524" s="12"/>
      <c r="I524" s="12"/>
      <c r="J524" s="9" t="str">
        <f t="shared" si="2"/>
        <v/>
      </c>
    </row>
    <row r="525">
      <c r="C525" s="12"/>
      <c r="D525" s="12"/>
      <c r="E525" s="12"/>
      <c r="F525" s="12"/>
      <c r="G525" s="55"/>
      <c r="H525" s="12"/>
      <c r="I525" s="12"/>
      <c r="J525" s="9" t="str">
        <f t="shared" si="2"/>
        <v/>
      </c>
    </row>
    <row r="526">
      <c r="C526" s="60"/>
      <c r="D526" s="61"/>
      <c r="E526" s="12"/>
      <c r="F526" s="12"/>
      <c r="G526" s="55"/>
      <c r="H526" s="12"/>
      <c r="I526" s="12"/>
      <c r="J526" s="9" t="str">
        <f t="shared" si="2"/>
        <v/>
      </c>
    </row>
    <row r="527">
      <c r="C527" s="60"/>
      <c r="D527" s="61"/>
      <c r="E527" s="12"/>
      <c r="F527" s="12"/>
      <c r="G527" s="55"/>
      <c r="H527" s="12"/>
      <c r="I527" s="12"/>
      <c r="J527" s="9" t="str">
        <f t="shared" si="2"/>
        <v/>
      </c>
    </row>
    <row r="528">
      <c r="C528" s="60"/>
      <c r="D528" s="61"/>
      <c r="E528" s="12"/>
      <c r="F528" s="12"/>
      <c r="G528" s="55"/>
      <c r="H528" s="12"/>
      <c r="I528" s="12"/>
      <c r="J528" s="9" t="str">
        <f t="shared" si="2"/>
        <v/>
      </c>
    </row>
    <row r="529">
      <c r="C529" s="60"/>
      <c r="D529" s="61"/>
      <c r="E529" s="12"/>
      <c r="F529" s="12"/>
      <c r="G529" s="55"/>
      <c r="H529" s="12"/>
      <c r="I529" s="12"/>
      <c r="J529" s="9" t="str">
        <f t="shared" si="2"/>
        <v/>
      </c>
    </row>
    <row r="530">
      <c r="C530" s="57"/>
      <c r="D530" s="58"/>
      <c r="E530" s="12"/>
      <c r="F530" s="57"/>
      <c r="G530" s="55"/>
      <c r="H530" s="12"/>
      <c r="I530" s="12"/>
      <c r="J530" s="9" t="str">
        <f t="shared" si="2"/>
        <v/>
      </c>
    </row>
    <row r="531">
      <c r="C531" s="60"/>
      <c r="D531" s="61"/>
      <c r="E531" s="12"/>
      <c r="F531" s="12"/>
      <c r="G531" s="55"/>
      <c r="H531" s="12"/>
      <c r="I531" s="12"/>
      <c r="J531" s="9" t="str">
        <f t="shared" si="2"/>
        <v/>
      </c>
    </row>
    <row r="532">
      <c r="C532" s="60"/>
      <c r="D532" s="61"/>
      <c r="E532" s="12"/>
      <c r="F532" s="12"/>
      <c r="G532" s="55"/>
      <c r="H532" s="12"/>
      <c r="I532" s="12"/>
      <c r="J532" s="9" t="str">
        <f t="shared" si="2"/>
        <v/>
      </c>
    </row>
    <row r="533">
      <c r="C533" s="60"/>
      <c r="D533" s="61"/>
      <c r="E533" s="12"/>
      <c r="F533" s="12"/>
      <c r="G533" s="55"/>
      <c r="H533" s="12"/>
      <c r="I533" s="12"/>
      <c r="J533" s="9" t="str">
        <f t="shared" si="2"/>
        <v/>
      </c>
    </row>
    <row r="534">
      <c r="C534" s="60"/>
      <c r="D534" s="61"/>
      <c r="E534" s="12"/>
      <c r="F534" s="12"/>
      <c r="G534" s="55"/>
      <c r="H534" s="12"/>
      <c r="I534" s="12"/>
      <c r="J534" s="9" t="str">
        <f t="shared" si="2"/>
        <v/>
      </c>
    </row>
    <row r="535">
      <c r="C535" s="60"/>
      <c r="D535" s="61"/>
      <c r="E535" s="12"/>
      <c r="F535" s="12"/>
      <c r="G535" s="55"/>
      <c r="H535" s="12"/>
      <c r="I535" s="12"/>
      <c r="J535" s="9" t="str">
        <f t="shared" si="2"/>
        <v/>
      </c>
    </row>
    <row r="536">
      <c r="C536" s="60"/>
      <c r="D536" s="61"/>
      <c r="E536" s="12"/>
      <c r="F536" s="12"/>
      <c r="G536" s="55"/>
      <c r="H536" s="12"/>
      <c r="I536" s="12"/>
      <c r="J536" s="9" t="str">
        <f t="shared" si="2"/>
        <v/>
      </c>
    </row>
    <row r="537">
      <c r="C537" s="60"/>
      <c r="D537" s="61"/>
      <c r="E537" s="12"/>
      <c r="F537" s="12"/>
      <c r="G537" s="55"/>
      <c r="H537" s="12"/>
      <c r="I537" s="12"/>
      <c r="J537" s="9" t="str">
        <f t="shared" si="2"/>
        <v/>
      </c>
    </row>
    <row r="538">
      <c r="C538" s="60"/>
      <c r="D538" s="61"/>
      <c r="E538" s="12"/>
      <c r="F538" s="12"/>
      <c r="G538" s="55"/>
      <c r="H538" s="12"/>
      <c r="I538" s="12"/>
      <c r="J538" s="9" t="str">
        <f t="shared" si="2"/>
        <v/>
      </c>
    </row>
    <row r="539">
      <c r="C539" s="60"/>
      <c r="D539" s="61"/>
      <c r="E539" s="12"/>
      <c r="F539" s="12"/>
      <c r="G539" s="55"/>
      <c r="H539" s="12"/>
      <c r="I539" s="12"/>
      <c r="J539" s="9" t="str">
        <f t="shared" si="2"/>
        <v/>
      </c>
    </row>
    <row r="540">
      <c r="C540" s="60"/>
      <c r="D540" s="61"/>
      <c r="E540" s="12"/>
      <c r="F540" s="12"/>
      <c r="G540" s="55"/>
      <c r="H540" s="12"/>
      <c r="I540" s="12"/>
      <c r="J540" s="9" t="str">
        <f t="shared" si="2"/>
        <v/>
      </c>
    </row>
    <row r="541">
      <c r="C541" s="54"/>
      <c r="D541" s="59"/>
      <c r="E541" s="54"/>
      <c r="F541" s="54"/>
      <c r="G541" s="55"/>
      <c r="H541" s="12"/>
      <c r="I541" s="12"/>
      <c r="J541" s="9" t="str">
        <f t="shared" si="2"/>
        <v/>
      </c>
    </row>
    <row r="542">
      <c r="C542" s="60"/>
      <c r="D542" s="61"/>
      <c r="E542" s="12"/>
      <c r="F542" s="12"/>
      <c r="G542" s="55"/>
      <c r="H542" s="12"/>
      <c r="I542" s="12"/>
      <c r="J542" s="9" t="str">
        <f t="shared" si="2"/>
        <v/>
      </c>
    </row>
    <row r="543">
      <c r="C543" s="60"/>
      <c r="D543" s="61"/>
      <c r="E543" s="12"/>
      <c r="F543" s="12"/>
      <c r="G543" s="55"/>
      <c r="H543" s="12"/>
      <c r="I543" s="12"/>
      <c r="J543" s="9" t="str">
        <f t="shared" si="2"/>
        <v/>
      </c>
    </row>
    <row r="544">
      <c r="C544" s="60"/>
      <c r="D544" s="61"/>
      <c r="E544" s="12"/>
      <c r="F544" s="12"/>
      <c r="G544" s="55"/>
      <c r="H544" s="12"/>
      <c r="I544" s="12"/>
      <c r="J544" s="9" t="str">
        <f t="shared" si="2"/>
        <v/>
      </c>
    </row>
    <row r="545">
      <c r="C545" s="60"/>
      <c r="D545" s="61"/>
      <c r="E545" s="12"/>
      <c r="F545" s="12"/>
      <c r="G545" s="55"/>
      <c r="H545" s="12"/>
      <c r="I545" s="12"/>
      <c r="J545" s="9" t="str">
        <f t="shared" si="2"/>
        <v/>
      </c>
    </row>
    <row r="546">
      <c r="C546" s="60"/>
      <c r="D546" s="61"/>
      <c r="E546" s="12"/>
      <c r="F546" s="12"/>
      <c r="G546" s="55"/>
      <c r="H546" s="12"/>
      <c r="I546" s="12"/>
      <c r="J546" s="9" t="str">
        <f t="shared" si="2"/>
        <v/>
      </c>
    </row>
    <row r="547">
      <c r="C547" s="60"/>
      <c r="D547" s="61"/>
      <c r="E547" s="12"/>
      <c r="F547" s="12"/>
      <c r="G547" s="55"/>
      <c r="H547" s="12"/>
      <c r="I547" s="12"/>
      <c r="J547" s="9" t="str">
        <f t="shared" si="2"/>
        <v/>
      </c>
    </row>
    <row r="548">
      <c r="C548" s="60"/>
      <c r="D548" s="61"/>
      <c r="E548" s="12"/>
      <c r="F548" s="12"/>
      <c r="G548" s="55"/>
      <c r="H548" s="12"/>
      <c r="I548" s="12"/>
      <c r="J548" s="9" t="str">
        <f t="shared" si="2"/>
        <v/>
      </c>
    </row>
    <row r="549">
      <c r="C549" s="60"/>
      <c r="D549" s="61"/>
      <c r="E549" s="12"/>
      <c r="F549" s="12"/>
      <c r="G549" s="55"/>
      <c r="H549" s="12"/>
      <c r="I549" s="12"/>
      <c r="J549" s="9" t="str">
        <f t="shared" si="2"/>
        <v/>
      </c>
    </row>
    <row r="550">
      <c r="C550" s="57"/>
      <c r="D550" s="58"/>
      <c r="E550" s="62"/>
      <c r="F550" s="57"/>
      <c r="G550" s="55"/>
      <c r="H550" s="12"/>
      <c r="I550" s="12"/>
      <c r="J550" s="9" t="str">
        <f t="shared" si="2"/>
        <v/>
      </c>
    </row>
    <row r="551">
      <c r="C551" s="54"/>
      <c r="D551" s="59"/>
      <c r="E551" s="54"/>
      <c r="F551" s="54"/>
      <c r="G551" s="55"/>
      <c r="H551" s="12"/>
      <c r="I551" s="12"/>
      <c r="J551" s="9" t="str">
        <f t="shared" si="2"/>
        <v/>
      </c>
    </row>
    <row r="552">
      <c r="C552" s="57"/>
      <c r="D552" s="58"/>
      <c r="E552" s="12"/>
      <c r="F552" s="57"/>
      <c r="G552" s="55"/>
      <c r="H552" s="12"/>
      <c r="I552" s="12"/>
      <c r="J552" s="9" t="str">
        <f t="shared" si="2"/>
        <v/>
      </c>
    </row>
    <row r="553">
      <c r="C553" s="60"/>
      <c r="D553" s="61"/>
      <c r="E553" s="12"/>
      <c r="F553" s="12"/>
      <c r="G553" s="55"/>
      <c r="H553" s="12"/>
      <c r="I553" s="12"/>
      <c r="J553" s="9" t="str">
        <f t="shared" si="2"/>
        <v/>
      </c>
    </row>
    <row r="554">
      <c r="C554" s="60"/>
      <c r="D554" s="61"/>
      <c r="E554" s="12"/>
      <c r="F554" s="12"/>
      <c r="G554" s="55"/>
      <c r="H554" s="12"/>
      <c r="I554" s="12"/>
      <c r="J554" s="9" t="str">
        <f t="shared" si="2"/>
        <v/>
      </c>
    </row>
    <row r="555">
      <c r="C555" s="60"/>
      <c r="D555" s="61"/>
      <c r="E555" s="12"/>
      <c r="F555" s="12"/>
      <c r="G555" s="55"/>
      <c r="H555" s="12"/>
      <c r="I555" s="12"/>
      <c r="J555" s="9" t="str">
        <f t="shared" si="2"/>
        <v/>
      </c>
    </row>
    <row r="556">
      <c r="C556" s="60"/>
      <c r="D556" s="61"/>
      <c r="E556" s="12"/>
      <c r="F556" s="12"/>
      <c r="G556" s="55"/>
      <c r="H556" s="12"/>
      <c r="I556" s="12"/>
      <c r="J556" s="9" t="str">
        <f t="shared" si="2"/>
        <v/>
      </c>
    </row>
    <row r="557">
      <c r="C557" s="60"/>
      <c r="D557" s="61"/>
      <c r="E557" s="12"/>
      <c r="F557" s="12"/>
      <c r="G557" s="55"/>
      <c r="H557" s="12"/>
      <c r="I557" s="12"/>
      <c r="J557" s="9" t="str">
        <f t="shared" si="2"/>
        <v/>
      </c>
    </row>
    <row r="558">
      <c r="C558" s="60"/>
      <c r="D558" s="61"/>
      <c r="E558" s="12"/>
      <c r="F558" s="12"/>
      <c r="G558" s="55"/>
      <c r="H558" s="12"/>
      <c r="I558" s="12"/>
      <c r="J558" s="9" t="str">
        <f t="shared" si="2"/>
        <v/>
      </c>
    </row>
    <row r="559">
      <c r="C559" s="57"/>
      <c r="D559" s="58"/>
      <c r="E559" s="12"/>
      <c r="F559" s="57"/>
      <c r="G559" s="55"/>
      <c r="H559" s="12"/>
      <c r="I559" s="12"/>
      <c r="J559" s="9" t="str">
        <f t="shared" si="2"/>
        <v/>
      </c>
    </row>
    <row r="560">
      <c r="C560" s="60"/>
      <c r="D560" s="61"/>
      <c r="E560" s="12"/>
      <c r="F560" s="12"/>
      <c r="G560" s="55"/>
      <c r="H560" s="12"/>
      <c r="I560" s="12"/>
      <c r="J560" s="9" t="str">
        <f t="shared" si="2"/>
        <v/>
      </c>
    </row>
    <row r="561">
      <c r="C561" s="60"/>
      <c r="D561" s="61"/>
      <c r="E561" s="12"/>
      <c r="F561" s="12"/>
      <c r="G561" s="55"/>
      <c r="H561" s="12"/>
      <c r="I561" s="12"/>
      <c r="J561" s="9" t="str">
        <f t="shared" si="2"/>
        <v/>
      </c>
    </row>
    <row r="562">
      <c r="C562" s="54"/>
      <c r="D562" s="59"/>
      <c r="E562" s="54"/>
      <c r="F562" s="54"/>
      <c r="G562" s="55"/>
      <c r="H562" s="12"/>
      <c r="I562" s="12"/>
      <c r="J562" s="9" t="str">
        <f t="shared" si="2"/>
        <v/>
      </c>
    </row>
    <row r="563">
      <c r="C563" s="60"/>
      <c r="D563" s="61"/>
      <c r="E563" s="12"/>
      <c r="F563" s="12"/>
      <c r="G563" s="55"/>
      <c r="H563" s="12"/>
      <c r="I563" s="12"/>
      <c r="J563" s="9" t="str">
        <f t="shared" si="2"/>
        <v/>
      </c>
    </row>
    <row r="564">
      <c r="C564" s="60"/>
      <c r="D564" s="61"/>
      <c r="E564" s="12"/>
      <c r="F564" s="12"/>
      <c r="G564" s="55"/>
      <c r="H564" s="12"/>
      <c r="I564" s="12"/>
      <c r="J564" s="9" t="str">
        <f t="shared" si="2"/>
        <v/>
      </c>
    </row>
    <row r="565" ht="15.0" customHeight="1">
      <c r="C565" s="60"/>
      <c r="D565" s="61"/>
      <c r="E565" s="12"/>
      <c r="F565" s="12"/>
      <c r="G565" s="55"/>
      <c r="H565" s="12"/>
      <c r="I565" s="12"/>
      <c r="J565" s="9" t="str">
        <f t="shared" si="2"/>
        <v/>
      </c>
    </row>
    <row r="566">
      <c r="C566" s="60"/>
      <c r="D566" s="61"/>
      <c r="E566" s="12"/>
      <c r="F566" s="12"/>
      <c r="G566" s="55"/>
      <c r="H566" s="12"/>
      <c r="I566" s="12"/>
      <c r="J566" s="9" t="str">
        <f t="shared" si="2"/>
        <v/>
      </c>
    </row>
    <row r="567">
      <c r="C567" s="60"/>
      <c r="D567" s="61"/>
      <c r="E567" s="12"/>
      <c r="F567" s="12"/>
      <c r="G567" s="55"/>
      <c r="H567" s="12"/>
      <c r="I567" s="12"/>
      <c r="J567" s="9" t="str">
        <f t="shared" si="2"/>
        <v/>
      </c>
    </row>
    <row r="568">
      <c r="C568" s="60"/>
      <c r="D568" s="61"/>
      <c r="E568" s="12"/>
      <c r="F568" s="12"/>
      <c r="G568" s="55"/>
      <c r="H568" s="12"/>
      <c r="I568" s="12"/>
      <c r="J568" s="9" t="str">
        <f t="shared" si="2"/>
        <v/>
      </c>
    </row>
    <row r="569">
      <c r="C569" s="60"/>
      <c r="D569" s="61"/>
      <c r="E569" s="12"/>
      <c r="F569" s="12"/>
      <c r="G569" s="55"/>
      <c r="H569" s="12"/>
      <c r="I569" s="12"/>
      <c r="J569" s="9" t="str">
        <f t="shared" si="2"/>
        <v/>
      </c>
    </row>
    <row r="570">
      <c r="C570" s="54"/>
      <c r="D570" s="59"/>
      <c r="E570" s="54"/>
      <c r="F570" s="54"/>
      <c r="G570" s="55"/>
      <c r="H570" s="12"/>
      <c r="I570" s="12"/>
      <c r="J570" s="9" t="str">
        <f t="shared" si="2"/>
        <v/>
      </c>
    </row>
    <row r="571">
      <c r="C571" s="60"/>
      <c r="D571" s="61"/>
      <c r="E571" s="12"/>
      <c r="F571" s="12"/>
      <c r="G571" s="55"/>
      <c r="H571" s="12"/>
      <c r="I571" s="12"/>
      <c r="J571" s="9" t="str">
        <f t="shared" si="2"/>
        <v/>
      </c>
    </row>
    <row r="572">
      <c r="C572" s="60"/>
      <c r="D572" s="61"/>
      <c r="E572" s="12"/>
      <c r="F572" s="12"/>
      <c r="G572" s="55"/>
      <c r="H572" s="12"/>
      <c r="I572" s="12"/>
      <c r="J572" s="9" t="str">
        <f t="shared" si="2"/>
        <v/>
      </c>
    </row>
    <row r="573">
      <c r="C573" s="60"/>
      <c r="D573" s="61"/>
      <c r="E573" s="12"/>
      <c r="F573" s="12"/>
      <c r="G573" s="55"/>
      <c r="H573" s="12"/>
      <c r="I573" s="12"/>
      <c r="J573" s="9" t="str">
        <f t="shared" si="2"/>
        <v/>
      </c>
    </row>
    <row r="574">
      <c r="C574" s="60"/>
      <c r="D574" s="61"/>
      <c r="E574" s="12"/>
      <c r="F574" s="12"/>
      <c r="G574" s="55"/>
      <c r="H574" s="12"/>
      <c r="I574" s="12"/>
      <c r="J574" s="9" t="str">
        <f t="shared" si="2"/>
        <v/>
      </c>
    </row>
    <row r="575">
      <c r="C575" s="60"/>
      <c r="D575" s="61"/>
      <c r="E575" s="12"/>
      <c r="F575" s="12"/>
      <c r="G575" s="55"/>
      <c r="H575" s="12"/>
      <c r="I575" s="12"/>
      <c r="J575" s="9" t="str">
        <f t="shared" si="2"/>
        <v/>
      </c>
    </row>
    <row r="576">
      <c r="C576" s="60"/>
      <c r="D576" s="61"/>
      <c r="E576" s="12"/>
      <c r="F576" s="12"/>
      <c r="G576" s="55"/>
      <c r="H576" s="12"/>
      <c r="I576" s="12"/>
      <c r="J576" s="9" t="str">
        <f t="shared" si="2"/>
        <v/>
      </c>
    </row>
    <row r="577">
      <c r="C577" s="60"/>
      <c r="D577" s="61"/>
      <c r="E577" s="12"/>
      <c r="F577" s="12"/>
      <c r="G577" s="55"/>
      <c r="H577" s="12"/>
      <c r="I577" s="12"/>
      <c r="J577" s="9" t="str">
        <f t="shared" si="2"/>
        <v/>
      </c>
    </row>
    <row r="578">
      <c r="C578" s="60"/>
      <c r="D578" s="61"/>
      <c r="E578" s="12"/>
      <c r="F578" s="12"/>
      <c r="G578" s="55"/>
      <c r="H578" s="12"/>
      <c r="I578" s="12"/>
      <c r="J578" s="9" t="str">
        <f t="shared" si="2"/>
        <v/>
      </c>
    </row>
    <row r="579">
      <c r="C579" s="60"/>
      <c r="D579" s="61"/>
      <c r="E579" s="12"/>
      <c r="F579" s="12"/>
      <c r="G579" s="55"/>
      <c r="H579" s="12"/>
      <c r="I579" s="12"/>
      <c r="J579" s="9" t="str">
        <f t="shared" si="2"/>
        <v/>
      </c>
    </row>
    <row r="580">
      <c r="C580" s="57"/>
      <c r="D580" s="58"/>
      <c r="E580" s="12"/>
      <c r="F580" s="57"/>
      <c r="G580" s="55"/>
      <c r="H580" s="12"/>
      <c r="I580" s="12"/>
      <c r="J580" s="9" t="str">
        <f t="shared" si="2"/>
        <v/>
      </c>
    </row>
    <row r="581">
      <c r="C581" s="60"/>
      <c r="D581" s="61"/>
      <c r="E581" s="12"/>
      <c r="F581" s="12"/>
      <c r="G581" s="55"/>
      <c r="H581" s="12"/>
      <c r="I581" s="12"/>
      <c r="J581" s="9" t="str">
        <f t="shared" si="2"/>
        <v/>
      </c>
    </row>
    <row r="582">
      <c r="C582" s="57"/>
      <c r="D582" s="58"/>
      <c r="E582" s="12"/>
      <c r="F582" s="57"/>
      <c r="G582" s="55"/>
      <c r="H582" s="12"/>
      <c r="I582" s="12"/>
      <c r="J582" s="9" t="str">
        <f t="shared" si="2"/>
        <v/>
      </c>
    </row>
    <row r="583">
      <c r="C583" s="60"/>
      <c r="D583" s="61"/>
      <c r="E583" s="12"/>
      <c r="F583" s="12"/>
      <c r="G583" s="55"/>
      <c r="H583" s="12"/>
      <c r="I583" s="12"/>
      <c r="J583" s="9" t="str">
        <f t="shared" si="2"/>
        <v/>
      </c>
    </row>
    <row r="584">
      <c r="C584" s="60"/>
      <c r="D584" s="61"/>
      <c r="E584" s="12"/>
      <c r="F584" s="12"/>
      <c r="G584" s="55"/>
      <c r="H584" s="12"/>
      <c r="I584" s="12"/>
      <c r="J584" s="9" t="str">
        <f t="shared" si="2"/>
        <v/>
      </c>
    </row>
    <row r="585">
      <c r="C585" s="60"/>
      <c r="D585" s="61"/>
      <c r="E585" s="12"/>
      <c r="F585" s="12"/>
      <c r="G585" s="55"/>
      <c r="H585" s="12"/>
      <c r="I585" s="12"/>
      <c r="J585" s="9" t="str">
        <f t="shared" si="2"/>
        <v/>
      </c>
    </row>
    <row r="586">
      <c r="C586" s="60"/>
      <c r="D586" s="61"/>
      <c r="E586" s="12"/>
      <c r="F586" s="12"/>
      <c r="G586" s="55"/>
      <c r="H586" s="12"/>
      <c r="I586" s="12"/>
      <c r="J586" s="9" t="str">
        <f t="shared" si="2"/>
        <v/>
      </c>
    </row>
    <row r="587">
      <c r="C587" s="60"/>
      <c r="D587" s="61"/>
      <c r="E587" s="12"/>
      <c r="F587" s="12"/>
      <c r="G587" s="55"/>
      <c r="H587" s="12"/>
      <c r="I587" s="12"/>
      <c r="J587" s="9" t="str">
        <f t="shared" si="2"/>
        <v/>
      </c>
    </row>
    <row r="588">
      <c r="C588" s="60"/>
      <c r="D588" s="61"/>
      <c r="E588" s="12"/>
      <c r="F588" s="12"/>
      <c r="G588" s="55"/>
      <c r="H588" s="12"/>
      <c r="I588" s="12"/>
      <c r="J588" s="9" t="str">
        <f t="shared" si="2"/>
        <v/>
      </c>
    </row>
    <row r="589">
      <c r="C589" s="60"/>
      <c r="D589" s="61"/>
      <c r="E589" s="12"/>
      <c r="F589" s="12"/>
      <c r="G589" s="55"/>
      <c r="H589" s="12"/>
      <c r="I589" s="12"/>
      <c r="J589" s="9" t="str">
        <f t="shared" si="2"/>
        <v/>
      </c>
    </row>
    <row r="590">
      <c r="C590" s="60"/>
      <c r="D590" s="61"/>
      <c r="E590" s="12"/>
      <c r="F590" s="12"/>
      <c r="G590" s="55"/>
      <c r="H590" s="12"/>
      <c r="I590" s="12"/>
      <c r="J590" s="9" t="str">
        <f t="shared" si="2"/>
        <v/>
      </c>
    </row>
    <row r="591">
      <c r="C591" s="60"/>
      <c r="D591" s="61"/>
      <c r="E591" s="12"/>
      <c r="F591" s="12"/>
      <c r="G591" s="55"/>
      <c r="H591" s="12"/>
      <c r="I591" s="12"/>
      <c r="J591" s="9" t="str">
        <f t="shared" si="2"/>
        <v/>
      </c>
    </row>
    <row r="592">
      <c r="C592" s="57"/>
      <c r="D592" s="58"/>
      <c r="E592" s="12"/>
      <c r="F592" s="63"/>
      <c r="G592" s="55"/>
      <c r="H592" s="12"/>
      <c r="I592" s="12"/>
      <c r="J592" s="9" t="str">
        <f t="shared" si="2"/>
        <v/>
      </c>
    </row>
    <row r="593">
      <c r="C593" s="60"/>
      <c r="D593" s="61"/>
      <c r="E593" s="12"/>
      <c r="F593" s="12"/>
      <c r="G593" s="55"/>
      <c r="H593" s="12"/>
      <c r="I593" s="12"/>
      <c r="J593" s="9" t="str">
        <f t="shared" si="2"/>
        <v/>
      </c>
    </row>
    <row r="594">
      <c r="C594" s="57"/>
      <c r="D594" s="58"/>
      <c r="E594" s="62"/>
      <c r="F594" s="57"/>
      <c r="G594" s="55"/>
      <c r="H594" s="12"/>
      <c r="I594" s="12"/>
      <c r="J594" s="9" t="str">
        <f t="shared" si="2"/>
        <v/>
      </c>
    </row>
    <row r="595">
      <c r="C595" s="60"/>
      <c r="D595" s="61"/>
      <c r="E595" s="12"/>
      <c r="F595" s="12"/>
      <c r="G595" s="55"/>
      <c r="H595" s="12"/>
      <c r="I595" s="12"/>
      <c r="J595" s="9" t="str">
        <f t="shared" si="2"/>
        <v/>
      </c>
    </row>
    <row r="596">
      <c r="C596" s="60"/>
      <c r="D596" s="61"/>
      <c r="E596" s="12"/>
      <c r="F596" s="12"/>
      <c r="G596" s="55"/>
      <c r="H596" s="12"/>
      <c r="I596" s="12"/>
      <c r="J596" s="9" t="str">
        <f t="shared" si="2"/>
        <v/>
      </c>
    </row>
    <row r="597">
      <c r="C597" s="57"/>
      <c r="D597" s="58"/>
      <c r="E597" s="62"/>
      <c r="F597" s="57"/>
      <c r="G597" s="55"/>
      <c r="H597" s="12"/>
      <c r="I597" s="12"/>
      <c r="J597" s="9" t="str">
        <f t="shared" si="2"/>
        <v/>
      </c>
    </row>
    <row r="598">
      <c r="C598" s="57"/>
      <c r="D598" s="58"/>
      <c r="E598" s="62"/>
      <c r="F598" s="57"/>
      <c r="G598" s="55"/>
      <c r="H598" s="12"/>
      <c r="I598" s="12"/>
      <c r="J598" s="9" t="str">
        <f t="shared" si="2"/>
        <v/>
      </c>
    </row>
    <row r="599">
      <c r="C599" s="60"/>
      <c r="D599" s="61"/>
      <c r="E599" s="12"/>
      <c r="F599" s="12"/>
      <c r="G599" s="55"/>
      <c r="H599" s="12"/>
      <c r="I599" s="12"/>
      <c r="J599" s="9" t="str">
        <f t="shared" si="2"/>
        <v/>
      </c>
    </row>
    <row r="600">
      <c r="C600" s="60"/>
      <c r="D600" s="61"/>
      <c r="E600" s="12"/>
      <c r="F600" s="12"/>
      <c r="G600" s="55"/>
      <c r="H600" s="12"/>
      <c r="I600" s="12"/>
      <c r="J600" s="9" t="str">
        <f t="shared" si="2"/>
        <v/>
      </c>
    </row>
    <row r="601">
      <c r="C601" s="60"/>
      <c r="D601" s="61"/>
      <c r="E601" s="12"/>
      <c r="F601" s="12"/>
      <c r="G601" s="55"/>
      <c r="H601" s="12"/>
      <c r="I601" s="12"/>
      <c r="J601" s="9" t="str">
        <f t="shared" si="2"/>
        <v/>
      </c>
    </row>
    <row r="602">
      <c r="C602" s="60"/>
      <c r="D602" s="61"/>
      <c r="E602" s="12"/>
      <c r="F602" s="12"/>
      <c r="G602" s="55"/>
      <c r="H602" s="12"/>
      <c r="I602" s="12"/>
      <c r="J602" s="9" t="str">
        <f t="shared" si="2"/>
        <v/>
      </c>
    </row>
    <row r="603">
      <c r="C603" s="60"/>
      <c r="D603" s="61"/>
      <c r="E603" s="12"/>
      <c r="F603" s="12"/>
      <c r="G603" s="55"/>
      <c r="H603" s="12"/>
      <c r="I603" s="12"/>
      <c r="J603" s="9" t="str">
        <f t="shared" si="2"/>
        <v/>
      </c>
    </row>
    <row r="604">
      <c r="C604" s="60"/>
      <c r="D604" s="61"/>
      <c r="E604" s="12"/>
      <c r="F604" s="12"/>
      <c r="G604" s="55"/>
      <c r="H604" s="12"/>
      <c r="I604" s="12"/>
      <c r="J604" s="9" t="str">
        <f t="shared" si="2"/>
        <v/>
      </c>
    </row>
    <row r="605">
      <c r="C605" s="60"/>
      <c r="D605" s="61"/>
      <c r="E605" s="12"/>
      <c r="F605" s="12"/>
      <c r="G605" s="55"/>
      <c r="H605" s="12"/>
      <c r="I605" s="12"/>
      <c r="J605" s="9" t="str">
        <f t="shared" si="2"/>
        <v/>
      </c>
    </row>
    <row r="606">
      <c r="C606" s="60"/>
      <c r="D606" s="61"/>
      <c r="E606" s="12"/>
      <c r="F606" s="12"/>
      <c r="G606" s="55"/>
      <c r="H606" s="12"/>
      <c r="I606" s="12"/>
      <c r="J606" s="9" t="str">
        <f t="shared" si="2"/>
        <v/>
      </c>
    </row>
    <row r="607">
      <c r="C607" s="60"/>
      <c r="D607" s="61"/>
      <c r="E607" s="12"/>
      <c r="F607" s="12"/>
      <c r="G607" s="55"/>
      <c r="H607" s="12"/>
      <c r="I607" s="12"/>
      <c r="J607" s="9" t="str">
        <f t="shared" si="2"/>
        <v/>
      </c>
    </row>
    <row r="608">
      <c r="C608" s="60"/>
      <c r="D608" s="61"/>
      <c r="E608" s="12"/>
      <c r="F608" s="12"/>
      <c r="G608" s="55"/>
      <c r="H608" s="12"/>
      <c r="I608" s="12"/>
      <c r="J608" s="9" t="str">
        <f t="shared" si="2"/>
        <v/>
      </c>
    </row>
    <row r="609">
      <c r="C609" s="60"/>
      <c r="D609" s="61"/>
      <c r="E609" s="12"/>
      <c r="F609" s="12"/>
      <c r="G609" s="55"/>
      <c r="H609" s="12"/>
      <c r="I609" s="12"/>
      <c r="J609" s="9" t="str">
        <f t="shared" si="2"/>
        <v/>
      </c>
    </row>
    <row r="610">
      <c r="C610" s="60"/>
      <c r="D610" s="61"/>
      <c r="E610" s="12"/>
      <c r="F610" s="12"/>
      <c r="G610" s="55"/>
      <c r="H610" s="12"/>
      <c r="I610" s="12"/>
      <c r="J610" s="9" t="str">
        <f t="shared" si="2"/>
        <v/>
      </c>
    </row>
    <row r="611">
      <c r="C611" s="60"/>
      <c r="D611" s="61"/>
      <c r="E611" s="12"/>
      <c r="F611" s="12"/>
      <c r="G611" s="55"/>
      <c r="H611" s="12"/>
      <c r="I611" s="12"/>
      <c r="J611" s="9" t="str">
        <f t="shared" si="2"/>
        <v/>
      </c>
    </row>
    <row r="612">
      <c r="C612" s="60"/>
      <c r="D612" s="61"/>
      <c r="E612" s="12"/>
      <c r="F612" s="12"/>
      <c r="G612" s="55"/>
      <c r="H612" s="12"/>
      <c r="I612" s="12"/>
      <c r="J612" s="9" t="str">
        <f t="shared" si="2"/>
        <v/>
      </c>
    </row>
    <row r="613">
      <c r="C613" s="60"/>
      <c r="D613" s="61"/>
      <c r="E613" s="12"/>
      <c r="F613" s="12"/>
      <c r="G613" s="55"/>
      <c r="H613" s="12"/>
      <c r="I613" s="12"/>
      <c r="J613" s="9" t="str">
        <f t="shared" si="2"/>
        <v/>
      </c>
    </row>
    <row r="614">
      <c r="C614" s="60"/>
      <c r="D614" s="61"/>
      <c r="E614" s="12"/>
      <c r="F614" s="12"/>
      <c r="G614" s="55"/>
      <c r="H614" s="12"/>
      <c r="I614" s="12"/>
      <c r="J614" s="9" t="str">
        <f t="shared" si="2"/>
        <v/>
      </c>
    </row>
    <row r="615">
      <c r="C615" s="60"/>
      <c r="D615" s="61"/>
      <c r="E615" s="12"/>
      <c r="F615" s="12"/>
      <c r="G615" s="55"/>
      <c r="H615" s="12"/>
      <c r="I615" s="12"/>
      <c r="J615" s="9" t="str">
        <f t="shared" si="2"/>
        <v/>
      </c>
    </row>
    <row r="616">
      <c r="C616" s="57"/>
      <c r="D616" s="58"/>
      <c r="E616" s="12"/>
      <c r="F616" s="57"/>
      <c r="G616" s="55"/>
      <c r="H616" s="12"/>
      <c r="I616" s="12"/>
      <c r="J616" s="9" t="str">
        <f t="shared" si="2"/>
        <v/>
      </c>
    </row>
    <row r="617">
      <c r="C617" s="60"/>
      <c r="D617" s="61"/>
      <c r="E617" s="12"/>
      <c r="F617" s="12"/>
      <c r="G617" s="55"/>
      <c r="H617" s="12"/>
      <c r="I617" s="12"/>
      <c r="J617" s="9" t="str">
        <f t="shared" si="2"/>
        <v/>
      </c>
    </row>
    <row r="618">
      <c r="C618" s="60"/>
      <c r="D618" s="61"/>
      <c r="E618" s="12"/>
      <c r="F618" s="12"/>
      <c r="G618" s="55"/>
      <c r="H618" s="12"/>
      <c r="I618" s="12"/>
      <c r="J618" s="9" t="str">
        <f t="shared" si="2"/>
        <v/>
      </c>
    </row>
    <row r="619">
      <c r="C619" s="60"/>
      <c r="D619" s="61"/>
      <c r="E619" s="12"/>
      <c r="F619" s="12"/>
      <c r="G619" s="55"/>
      <c r="H619" s="12"/>
      <c r="I619" s="12"/>
      <c r="J619" s="9" t="str">
        <f t="shared" si="2"/>
        <v/>
      </c>
    </row>
    <row r="620">
      <c r="C620" s="57"/>
      <c r="D620" s="58"/>
      <c r="E620" s="12"/>
      <c r="F620" s="12"/>
      <c r="G620" s="55"/>
      <c r="H620" s="12"/>
      <c r="I620" s="12"/>
      <c r="J620" s="9" t="str">
        <f t="shared" si="2"/>
        <v/>
      </c>
    </row>
    <row r="621">
      <c r="C621" s="60"/>
      <c r="D621" s="61"/>
      <c r="E621" s="12"/>
      <c r="F621" s="12"/>
      <c r="G621" s="55"/>
      <c r="H621" s="12"/>
      <c r="I621" s="12"/>
      <c r="J621" s="9" t="str">
        <f t="shared" si="2"/>
        <v/>
      </c>
    </row>
    <row r="622">
      <c r="C622" s="60"/>
      <c r="D622" s="61"/>
      <c r="E622" s="12"/>
      <c r="F622" s="12"/>
      <c r="G622" s="55"/>
      <c r="H622" s="12"/>
      <c r="I622" s="12"/>
      <c r="J622" s="9" t="str">
        <f t="shared" si="2"/>
        <v/>
      </c>
    </row>
    <row r="623">
      <c r="C623" s="60"/>
      <c r="D623" s="61"/>
      <c r="E623" s="12"/>
      <c r="F623" s="12"/>
      <c r="G623" s="55"/>
      <c r="H623" s="12"/>
      <c r="I623" s="12"/>
      <c r="J623" s="9" t="str">
        <f t="shared" si="2"/>
        <v/>
      </c>
    </row>
    <row r="624">
      <c r="C624" s="60"/>
      <c r="D624" s="61"/>
      <c r="E624" s="12"/>
      <c r="F624" s="12"/>
      <c r="G624" s="55"/>
      <c r="H624" s="12"/>
      <c r="I624" s="12"/>
      <c r="J624" s="9" t="str">
        <f t="shared" si="2"/>
        <v/>
      </c>
    </row>
    <row r="625">
      <c r="C625" s="54"/>
      <c r="D625" s="59"/>
      <c r="E625" s="54"/>
      <c r="F625" s="54"/>
      <c r="G625" s="55"/>
      <c r="H625" s="12"/>
      <c r="I625" s="12"/>
      <c r="J625" s="9" t="str">
        <f t="shared" si="2"/>
        <v/>
      </c>
    </row>
    <row r="626">
      <c r="C626" s="60"/>
      <c r="D626" s="61"/>
      <c r="E626" s="12"/>
      <c r="F626" s="12"/>
      <c r="G626" s="55"/>
      <c r="H626" s="12"/>
      <c r="I626" s="12"/>
      <c r="J626" s="9" t="str">
        <f t="shared" si="2"/>
        <v/>
      </c>
    </row>
    <row r="627">
      <c r="C627" s="54"/>
      <c r="D627" s="54"/>
      <c r="E627" s="54"/>
      <c r="F627" s="54"/>
      <c r="G627" s="64"/>
      <c r="H627" s="54"/>
      <c r="I627" s="54"/>
    </row>
    <row r="628">
      <c r="C628" s="54"/>
      <c r="D628" s="54"/>
      <c r="E628" s="54"/>
      <c r="F628" s="54"/>
      <c r="G628" s="64"/>
      <c r="H628" s="54"/>
      <c r="I628" s="54"/>
    </row>
    <row r="629">
      <c r="C629" s="54"/>
      <c r="D629" s="54"/>
      <c r="E629" s="54"/>
      <c r="F629" s="54"/>
      <c r="G629" s="64"/>
      <c r="H629" s="54"/>
      <c r="I629" s="54"/>
    </row>
    <row r="630">
      <c r="C630" s="54"/>
      <c r="D630" s="54"/>
      <c r="E630" s="54"/>
      <c r="F630" s="54"/>
      <c r="G630" s="64"/>
      <c r="H630" s="54"/>
      <c r="I630" s="54"/>
    </row>
    <row r="631">
      <c r="C631" s="54"/>
      <c r="D631" s="54"/>
      <c r="E631" s="54"/>
      <c r="F631" s="54"/>
      <c r="G631" s="64"/>
      <c r="H631" s="54"/>
      <c r="I631" s="54"/>
    </row>
    <row r="632">
      <c r="C632" s="54"/>
      <c r="D632" s="54"/>
      <c r="E632" s="54"/>
      <c r="F632" s="54"/>
      <c r="G632" s="64"/>
      <c r="H632" s="54"/>
      <c r="I632" s="54"/>
    </row>
    <row r="633">
      <c r="C633" s="54"/>
      <c r="D633" s="54"/>
      <c r="E633" s="54"/>
      <c r="F633" s="54"/>
      <c r="G633" s="64"/>
      <c r="H633" s="54"/>
      <c r="I633" s="54"/>
    </row>
    <row r="634">
      <c r="C634" s="54"/>
      <c r="D634" s="54"/>
      <c r="E634" s="54"/>
      <c r="F634" s="54"/>
      <c r="G634" s="64"/>
      <c r="H634" s="54"/>
      <c r="I634" s="54"/>
    </row>
    <row r="635">
      <c r="C635" s="54"/>
      <c r="D635" s="54"/>
      <c r="E635" s="54"/>
      <c r="F635" s="54"/>
      <c r="G635" s="64"/>
      <c r="H635" s="54"/>
      <c r="I635" s="54"/>
    </row>
    <row r="636">
      <c r="C636" s="54"/>
      <c r="D636" s="54"/>
      <c r="E636" s="54"/>
      <c r="F636" s="54"/>
      <c r="G636" s="64"/>
      <c r="H636" s="54"/>
      <c r="I636" s="54"/>
    </row>
    <row r="637">
      <c r="C637" s="54"/>
      <c r="D637" s="54"/>
      <c r="E637" s="54"/>
      <c r="F637" s="54"/>
      <c r="G637" s="64"/>
      <c r="H637" s="54"/>
      <c r="I637" s="54"/>
    </row>
    <row r="638">
      <c r="C638" s="54"/>
      <c r="D638" s="54"/>
      <c r="E638" s="54"/>
      <c r="F638" s="54"/>
      <c r="G638" s="64"/>
      <c r="H638" s="54"/>
      <c r="I638" s="54"/>
    </row>
    <row r="639">
      <c r="C639" s="54"/>
      <c r="D639" s="54"/>
      <c r="E639" s="54"/>
      <c r="F639" s="54"/>
      <c r="G639" s="64"/>
      <c r="H639" s="54"/>
      <c r="I639" s="54"/>
    </row>
    <row r="640">
      <c r="C640" s="54"/>
      <c r="D640" s="54"/>
      <c r="E640" s="54"/>
      <c r="F640" s="54"/>
      <c r="G640" s="64"/>
      <c r="H640" s="54"/>
      <c r="I640" s="54"/>
    </row>
    <row r="641">
      <c r="C641" s="54"/>
      <c r="D641" s="54"/>
      <c r="E641" s="54"/>
      <c r="F641" s="54"/>
      <c r="G641" s="64"/>
      <c r="H641" s="54"/>
      <c r="I641" s="54"/>
    </row>
    <row r="642">
      <c r="C642" s="54"/>
      <c r="D642" s="54"/>
      <c r="E642" s="54"/>
      <c r="F642" s="54"/>
      <c r="G642" s="64"/>
      <c r="H642" s="54"/>
      <c r="I642" s="54"/>
    </row>
    <row r="643">
      <c r="C643" s="54"/>
      <c r="D643" s="54"/>
      <c r="E643" s="54"/>
      <c r="F643" s="54"/>
      <c r="G643" s="64"/>
      <c r="H643" s="54"/>
      <c r="I643" s="54"/>
    </row>
    <row r="644">
      <c r="C644" s="54"/>
      <c r="D644" s="54"/>
      <c r="E644" s="54"/>
      <c r="F644" s="54"/>
      <c r="G644" s="64"/>
      <c r="H644" s="54"/>
      <c r="I644" s="54"/>
    </row>
    <row r="645">
      <c r="C645" s="54"/>
      <c r="D645" s="54"/>
      <c r="E645" s="54"/>
      <c r="F645" s="54"/>
      <c r="G645" s="64"/>
      <c r="H645" s="54"/>
      <c r="I645" s="54"/>
    </row>
    <row r="646">
      <c r="C646" s="54"/>
      <c r="D646" s="54"/>
      <c r="E646" s="54"/>
      <c r="F646" s="54"/>
      <c r="G646" s="64"/>
      <c r="H646" s="54"/>
      <c r="I646" s="54"/>
    </row>
    <row r="647">
      <c r="C647" s="54"/>
      <c r="D647" s="54"/>
      <c r="E647" s="54"/>
      <c r="F647" s="54"/>
      <c r="G647" s="64"/>
      <c r="H647" s="54"/>
      <c r="I647" s="54"/>
    </row>
    <row r="648">
      <c r="C648" s="54"/>
      <c r="D648" s="54"/>
      <c r="E648" s="54"/>
      <c r="F648" s="54"/>
      <c r="G648" s="64"/>
      <c r="H648" s="54"/>
      <c r="I648" s="54"/>
    </row>
    <row r="649">
      <c r="C649" s="54"/>
      <c r="D649" s="54"/>
      <c r="E649" s="54"/>
      <c r="F649" s="54"/>
      <c r="G649" s="64"/>
      <c r="H649" s="54"/>
      <c r="I649" s="54"/>
    </row>
    <row r="650">
      <c r="C650" s="54"/>
      <c r="D650" s="54"/>
      <c r="E650" s="54"/>
      <c r="F650" s="54"/>
      <c r="G650" s="64"/>
      <c r="H650" s="54"/>
      <c r="I650" s="54"/>
    </row>
    <row r="651">
      <c r="C651" s="54"/>
      <c r="D651" s="54"/>
      <c r="E651" s="54"/>
      <c r="F651" s="54"/>
      <c r="G651" s="64"/>
      <c r="H651" s="54"/>
      <c r="I651" s="54"/>
    </row>
    <row r="652">
      <c r="C652" s="54"/>
      <c r="D652" s="54"/>
      <c r="E652" s="54"/>
      <c r="F652" s="54"/>
      <c r="G652" s="64"/>
      <c r="H652" s="54"/>
      <c r="I652" s="54"/>
    </row>
    <row r="653">
      <c r="C653" s="54"/>
      <c r="D653" s="54"/>
      <c r="E653" s="54"/>
      <c r="F653" s="54"/>
      <c r="G653" s="64"/>
      <c r="H653" s="54"/>
      <c r="I653" s="54"/>
    </row>
    <row r="654">
      <c r="C654" s="54"/>
      <c r="D654" s="54"/>
      <c r="E654" s="54"/>
      <c r="F654" s="54"/>
      <c r="G654" s="64"/>
      <c r="H654" s="54"/>
      <c r="I654" s="54"/>
    </row>
    <row r="655">
      <c r="C655" s="54"/>
      <c r="D655" s="54"/>
      <c r="E655" s="54"/>
      <c r="F655" s="54"/>
      <c r="G655" s="64"/>
      <c r="H655" s="54"/>
      <c r="I655" s="54"/>
    </row>
    <row r="656">
      <c r="C656" s="54"/>
      <c r="D656" s="54"/>
      <c r="E656" s="54"/>
      <c r="F656" s="54"/>
      <c r="G656" s="64"/>
      <c r="H656" s="54"/>
      <c r="I656" s="54"/>
    </row>
    <row r="657">
      <c r="C657" s="54"/>
      <c r="D657" s="54"/>
      <c r="E657" s="54"/>
      <c r="F657" s="54"/>
      <c r="G657" s="64"/>
      <c r="H657" s="54"/>
      <c r="I657" s="54"/>
    </row>
    <row r="658">
      <c r="C658" s="54"/>
      <c r="D658" s="54"/>
      <c r="E658" s="54"/>
      <c r="F658" s="54"/>
      <c r="G658" s="64"/>
      <c r="H658" s="54"/>
      <c r="I658" s="54"/>
    </row>
    <row r="659">
      <c r="C659" s="54"/>
      <c r="D659" s="54"/>
      <c r="E659" s="54"/>
      <c r="F659" s="54"/>
      <c r="G659" s="64"/>
      <c r="H659" s="54"/>
      <c r="I659" s="54"/>
    </row>
    <row r="660">
      <c r="C660" s="54"/>
      <c r="D660" s="54"/>
      <c r="E660" s="54"/>
      <c r="F660" s="54"/>
      <c r="G660" s="64"/>
      <c r="H660" s="54"/>
      <c r="I660" s="54"/>
    </row>
    <row r="661">
      <c r="C661" s="54"/>
      <c r="D661" s="54"/>
      <c r="E661" s="54"/>
      <c r="F661" s="54"/>
      <c r="G661" s="64"/>
      <c r="H661" s="54"/>
      <c r="I661" s="54"/>
    </row>
    <row r="662">
      <c r="C662" s="54"/>
      <c r="D662" s="54"/>
      <c r="E662" s="54"/>
      <c r="F662" s="54"/>
      <c r="G662" s="64"/>
      <c r="H662" s="54"/>
      <c r="I662" s="54"/>
    </row>
    <row r="663">
      <c r="C663" s="54"/>
      <c r="D663" s="54"/>
      <c r="E663" s="54"/>
      <c r="F663" s="54"/>
      <c r="G663" s="64"/>
      <c r="H663" s="54"/>
      <c r="I663" s="54"/>
    </row>
    <row r="664">
      <c r="C664" s="54"/>
      <c r="D664" s="54"/>
      <c r="E664" s="54"/>
      <c r="F664" s="54"/>
      <c r="G664" s="64"/>
      <c r="H664" s="54"/>
      <c r="I664" s="54"/>
    </row>
    <row r="665">
      <c r="C665" s="54"/>
      <c r="D665" s="54"/>
      <c r="E665" s="54"/>
      <c r="F665" s="54"/>
      <c r="G665" s="64"/>
      <c r="H665" s="54"/>
      <c r="I665" s="54"/>
    </row>
    <row r="666">
      <c r="C666" s="54"/>
      <c r="D666" s="54"/>
      <c r="E666" s="54"/>
      <c r="F666" s="54"/>
      <c r="G666" s="64"/>
      <c r="H666" s="54"/>
      <c r="I666" s="54"/>
    </row>
    <row r="667">
      <c r="C667" s="54"/>
      <c r="D667" s="54"/>
      <c r="E667" s="54"/>
      <c r="F667" s="54"/>
      <c r="G667" s="64"/>
      <c r="H667" s="54"/>
      <c r="I667" s="54"/>
    </row>
    <row r="668">
      <c r="C668" s="54"/>
      <c r="D668" s="54"/>
      <c r="E668" s="54"/>
      <c r="F668" s="54"/>
      <c r="G668" s="64"/>
      <c r="H668" s="54"/>
      <c r="I668" s="54"/>
    </row>
    <row r="669">
      <c r="C669" s="54"/>
      <c r="D669" s="54"/>
      <c r="E669" s="54"/>
      <c r="F669" s="54"/>
      <c r="G669" s="64"/>
      <c r="H669" s="54"/>
      <c r="I669" s="54"/>
    </row>
    <row r="670">
      <c r="C670" s="54"/>
      <c r="D670" s="54"/>
      <c r="E670" s="54"/>
      <c r="F670" s="54"/>
      <c r="G670" s="64"/>
      <c r="H670" s="54"/>
      <c r="I670" s="54"/>
    </row>
    <row r="671">
      <c r="C671" s="54"/>
      <c r="D671" s="54"/>
      <c r="E671" s="54"/>
      <c r="F671" s="54"/>
      <c r="G671" s="64"/>
      <c r="H671" s="54"/>
      <c r="I671" s="54"/>
    </row>
    <row r="672">
      <c r="C672" s="54"/>
      <c r="D672" s="54"/>
      <c r="E672" s="54"/>
      <c r="F672" s="54"/>
      <c r="G672" s="64"/>
      <c r="H672" s="54"/>
      <c r="I672" s="54"/>
    </row>
    <row r="673">
      <c r="C673" s="54"/>
      <c r="D673" s="54"/>
      <c r="E673" s="54"/>
      <c r="F673" s="54"/>
      <c r="G673" s="64"/>
      <c r="H673" s="54"/>
      <c r="I673" s="54"/>
    </row>
    <row r="674">
      <c r="C674" s="54"/>
      <c r="D674" s="54"/>
      <c r="E674" s="54"/>
      <c r="F674" s="54"/>
      <c r="G674" s="64"/>
      <c r="H674" s="54"/>
      <c r="I674" s="54"/>
    </row>
    <row r="675">
      <c r="C675" s="54"/>
      <c r="D675" s="54"/>
      <c r="E675" s="54"/>
      <c r="F675" s="54"/>
      <c r="G675" s="64"/>
      <c r="H675" s="54"/>
      <c r="I675" s="54"/>
    </row>
    <row r="676">
      <c r="C676" s="54"/>
      <c r="D676" s="54"/>
      <c r="E676" s="54"/>
      <c r="F676" s="54"/>
      <c r="G676" s="64"/>
      <c r="H676" s="54"/>
      <c r="I676" s="54"/>
    </row>
    <row r="677">
      <c r="C677" s="54"/>
      <c r="D677" s="54"/>
      <c r="E677" s="54"/>
      <c r="F677" s="54"/>
      <c r="G677" s="64"/>
      <c r="H677" s="54"/>
      <c r="I677" s="54"/>
    </row>
    <row r="678">
      <c r="C678" s="54"/>
      <c r="D678" s="54"/>
      <c r="E678" s="54"/>
      <c r="F678" s="54"/>
      <c r="G678" s="64"/>
      <c r="H678" s="54"/>
      <c r="I678" s="54"/>
    </row>
    <row r="679">
      <c r="C679" s="54"/>
      <c r="D679" s="54"/>
      <c r="E679" s="54"/>
      <c r="F679" s="54"/>
      <c r="G679" s="64"/>
      <c r="H679" s="54"/>
      <c r="I679" s="54"/>
    </row>
    <row r="680">
      <c r="C680" s="54"/>
      <c r="D680" s="54"/>
      <c r="E680" s="54"/>
      <c r="F680" s="54"/>
      <c r="G680" s="64"/>
      <c r="H680" s="54"/>
      <c r="I680" s="54"/>
    </row>
    <row r="681">
      <c r="C681" s="54"/>
      <c r="D681" s="54"/>
      <c r="E681" s="54"/>
      <c r="F681" s="54"/>
      <c r="G681" s="64"/>
      <c r="H681" s="54"/>
      <c r="I681" s="54"/>
    </row>
    <row r="682">
      <c r="C682" s="54"/>
      <c r="D682" s="54"/>
      <c r="E682" s="54"/>
      <c r="F682" s="54"/>
      <c r="G682" s="64"/>
      <c r="H682" s="54"/>
      <c r="I682" s="54"/>
    </row>
    <row r="683">
      <c r="C683" s="54"/>
      <c r="D683" s="54"/>
      <c r="E683" s="54"/>
      <c r="F683" s="54"/>
      <c r="G683" s="64"/>
      <c r="H683" s="54"/>
      <c r="I683" s="54"/>
    </row>
    <row r="684">
      <c r="C684" s="54"/>
      <c r="D684" s="54"/>
      <c r="E684" s="54"/>
      <c r="F684" s="54"/>
      <c r="G684" s="64"/>
      <c r="H684" s="54"/>
      <c r="I684" s="54"/>
    </row>
    <row r="685">
      <c r="C685" s="54"/>
      <c r="D685" s="54"/>
      <c r="E685" s="54"/>
      <c r="F685" s="54"/>
      <c r="G685" s="64"/>
      <c r="H685" s="54"/>
      <c r="I685" s="54"/>
    </row>
    <row r="686">
      <c r="C686" s="54"/>
      <c r="D686" s="54"/>
      <c r="E686" s="54"/>
      <c r="F686" s="54"/>
      <c r="G686" s="64"/>
      <c r="H686" s="54"/>
      <c r="I686" s="54"/>
    </row>
    <row r="687">
      <c r="C687" s="54"/>
      <c r="D687" s="54"/>
      <c r="E687" s="54"/>
      <c r="F687" s="54"/>
      <c r="G687" s="64"/>
      <c r="H687" s="54"/>
      <c r="I687" s="54"/>
    </row>
    <row r="688">
      <c r="C688" s="54"/>
      <c r="D688" s="54"/>
      <c r="E688" s="54"/>
      <c r="F688" s="54"/>
      <c r="G688" s="64"/>
      <c r="H688" s="54"/>
      <c r="I688" s="54"/>
    </row>
    <row r="689">
      <c r="C689" s="54"/>
      <c r="D689" s="54"/>
      <c r="E689" s="54"/>
      <c r="F689" s="54"/>
      <c r="G689" s="64"/>
      <c r="H689" s="54"/>
      <c r="I689" s="54"/>
    </row>
    <row r="690">
      <c r="C690" s="54"/>
      <c r="D690" s="54"/>
      <c r="E690" s="54"/>
      <c r="F690" s="54"/>
      <c r="G690" s="64"/>
      <c r="H690" s="54"/>
      <c r="I690" s="54"/>
    </row>
    <row r="691">
      <c r="C691" s="54"/>
      <c r="D691" s="54"/>
      <c r="E691" s="54"/>
      <c r="F691" s="54"/>
      <c r="G691" s="64"/>
      <c r="H691" s="54"/>
      <c r="I691" s="54"/>
    </row>
    <row r="692">
      <c r="C692" s="54"/>
      <c r="D692" s="54"/>
      <c r="E692" s="54"/>
      <c r="F692" s="54"/>
      <c r="G692" s="64"/>
      <c r="H692" s="54"/>
      <c r="I692" s="54"/>
    </row>
    <row r="693">
      <c r="C693" s="54"/>
      <c r="D693" s="54"/>
      <c r="E693" s="54"/>
      <c r="F693" s="54"/>
      <c r="G693" s="64"/>
      <c r="H693" s="54"/>
      <c r="I693" s="54"/>
    </row>
    <row r="694">
      <c r="C694" s="54"/>
      <c r="D694" s="54"/>
      <c r="E694" s="54"/>
      <c r="F694" s="54"/>
      <c r="G694" s="64"/>
      <c r="H694" s="54"/>
      <c r="I694" s="54"/>
    </row>
    <row r="695">
      <c r="C695" s="54"/>
      <c r="D695" s="54"/>
      <c r="E695" s="54"/>
      <c r="F695" s="54"/>
      <c r="G695" s="64"/>
      <c r="H695" s="54"/>
      <c r="I695" s="54"/>
    </row>
    <row r="696">
      <c r="C696" s="54"/>
      <c r="D696" s="54"/>
      <c r="E696" s="54"/>
      <c r="F696" s="54"/>
      <c r="G696" s="64"/>
      <c r="H696" s="54"/>
      <c r="I696" s="54"/>
    </row>
    <row r="697">
      <c r="C697" s="54"/>
      <c r="D697" s="54"/>
      <c r="E697" s="54"/>
      <c r="F697" s="54"/>
      <c r="G697" s="64"/>
      <c r="H697" s="54"/>
      <c r="I697" s="54"/>
    </row>
    <row r="698">
      <c r="C698" s="54"/>
      <c r="D698" s="54"/>
      <c r="E698" s="54"/>
      <c r="F698" s="54"/>
      <c r="G698" s="64"/>
      <c r="H698" s="54"/>
      <c r="I698" s="54"/>
    </row>
    <row r="699">
      <c r="C699" s="54"/>
      <c r="D699" s="54"/>
      <c r="E699" s="54"/>
      <c r="F699" s="54"/>
      <c r="G699" s="64"/>
      <c r="H699" s="54"/>
      <c r="I699" s="54"/>
    </row>
    <row r="700">
      <c r="C700" s="54"/>
      <c r="D700" s="54"/>
      <c r="E700" s="54"/>
      <c r="F700" s="54"/>
      <c r="G700" s="64"/>
      <c r="H700" s="54"/>
      <c r="I700" s="54"/>
    </row>
    <row r="701">
      <c r="C701" s="54"/>
      <c r="D701" s="54"/>
      <c r="E701" s="54"/>
      <c r="F701" s="54"/>
      <c r="G701" s="64"/>
      <c r="H701" s="54"/>
      <c r="I701" s="54"/>
    </row>
    <row r="702">
      <c r="C702" s="54"/>
      <c r="D702" s="54"/>
      <c r="E702" s="54"/>
      <c r="F702" s="54"/>
      <c r="G702" s="64"/>
      <c r="H702" s="54"/>
      <c r="I702" s="54"/>
    </row>
    <row r="703">
      <c r="C703" s="54"/>
      <c r="D703" s="54"/>
      <c r="E703" s="54"/>
      <c r="F703" s="54"/>
      <c r="G703" s="64"/>
      <c r="H703" s="54"/>
      <c r="I703" s="54"/>
    </row>
    <row r="704">
      <c r="C704" s="54"/>
      <c r="D704" s="54"/>
      <c r="E704" s="54"/>
      <c r="F704" s="54"/>
      <c r="G704" s="64"/>
      <c r="H704" s="54"/>
      <c r="I704" s="54"/>
    </row>
    <row r="705">
      <c r="C705" s="54"/>
      <c r="D705" s="54"/>
      <c r="E705" s="54"/>
      <c r="F705" s="54"/>
      <c r="G705" s="64"/>
      <c r="H705" s="54"/>
      <c r="I705" s="54"/>
    </row>
    <row r="706">
      <c r="C706" s="54"/>
      <c r="D706" s="54"/>
      <c r="E706" s="54"/>
      <c r="F706" s="54"/>
      <c r="G706" s="64"/>
      <c r="H706" s="54"/>
      <c r="I706" s="54"/>
    </row>
    <row r="707">
      <c r="C707" s="54"/>
      <c r="D707" s="54"/>
      <c r="E707" s="54"/>
      <c r="F707" s="54"/>
      <c r="G707" s="64"/>
      <c r="H707" s="54"/>
      <c r="I707" s="54"/>
    </row>
    <row r="708">
      <c r="C708" s="54"/>
      <c r="D708" s="54"/>
      <c r="E708" s="54"/>
      <c r="F708" s="54"/>
      <c r="G708" s="64"/>
      <c r="H708" s="54"/>
      <c r="I708" s="54"/>
    </row>
    <row r="709">
      <c r="C709" s="54"/>
      <c r="D709" s="54"/>
      <c r="E709" s="54"/>
      <c r="F709" s="54"/>
      <c r="G709" s="64"/>
      <c r="H709" s="54"/>
      <c r="I709" s="54"/>
    </row>
    <row r="710">
      <c r="C710" s="54"/>
      <c r="D710" s="54"/>
      <c r="E710" s="54"/>
      <c r="F710" s="54"/>
      <c r="G710" s="64"/>
      <c r="H710" s="54"/>
      <c r="I710" s="54"/>
    </row>
    <row r="711">
      <c r="C711" s="54"/>
      <c r="D711" s="54"/>
      <c r="E711" s="54"/>
      <c r="F711" s="54"/>
      <c r="G711" s="64"/>
      <c r="H711" s="54"/>
      <c r="I711" s="54"/>
    </row>
    <row r="712">
      <c r="C712" s="54"/>
      <c r="D712" s="54"/>
      <c r="E712" s="54"/>
      <c r="F712" s="54"/>
      <c r="G712" s="64"/>
      <c r="H712" s="54"/>
      <c r="I712" s="54"/>
    </row>
    <row r="713">
      <c r="C713" s="54"/>
      <c r="D713" s="54"/>
      <c r="E713" s="54"/>
      <c r="F713" s="54"/>
      <c r="G713" s="64"/>
      <c r="H713" s="54"/>
      <c r="I713" s="54"/>
    </row>
    <row r="714">
      <c r="C714" s="54"/>
      <c r="D714" s="54"/>
      <c r="E714" s="54"/>
      <c r="F714" s="54"/>
      <c r="G714" s="64"/>
      <c r="H714" s="54"/>
      <c r="I714" s="54"/>
    </row>
    <row r="715">
      <c r="C715" s="54"/>
      <c r="D715" s="54"/>
      <c r="E715" s="54"/>
      <c r="F715" s="54"/>
      <c r="G715" s="64"/>
      <c r="H715" s="54"/>
      <c r="I715" s="54"/>
    </row>
    <row r="716">
      <c r="C716" s="54"/>
      <c r="D716" s="54"/>
      <c r="E716" s="54"/>
      <c r="F716" s="54"/>
      <c r="G716" s="64"/>
      <c r="H716" s="54"/>
      <c r="I716" s="54"/>
    </row>
    <row r="717">
      <c r="C717" s="54"/>
      <c r="D717" s="54"/>
      <c r="E717" s="54"/>
      <c r="F717" s="54"/>
      <c r="G717" s="64"/>
      <c r="H717" s="54"/>
      <c r="I717" s="54"/>
    </row>
    <row r="718">
      <c r="C718" s="54"/>
      <c r="D718" s="54"/>
      <c r="E718" s="54"/>
      <c r="F718" s="54"/>
      <c r="G718" s="64"/>
      <c r="H718" s="54"/>
      <c r="I718" s="54"/>
    </row>
    <row r="719">
      <c r="C719" s="54"/>
      <c r="D719" s="54"/>
      <c r="E719" s="54"/>
      <c r="F719" s="54"/>
      <c r="G719" s="64"/>
      <c r="H719" s="54"/>
      <c r="I719" s="54"/>
    </row>
    <row r="720">
      <c r="C720" s="54"/>
      <c r="D720" s="54"/>
      <c r="E720" s="54"/>
      <c r="F720" s="54"/>
      <c r="G720" s="64"/>
      <c r="H720" s="54"/>
      <c r="I720" s="54"/>
    </row>
    <row r="721">
      <c r="C721" s="54"/>
      <c r="D721" s="54"/>
      <c r="E721" s="54"/>
      <c r="F721" s="54"/>
      <c r="G721" s="64"/>
      <c r="H721" s="54"/>
      <c r="I721" s="54"/>
    </row>
    <row r="722">
      <c r="C722" s="54"/>
      <c r="D722" s="54"/>
      <c r="E722" s="54"/>
      <c r="F722" s="54"/>
      <c r="G722" s="64"/>
      <c r="H722" s="54"/>
      <c r="I722" s="54"/>
    </row>
    <row r="723">
      <c r="C723" s="54"/>
      <c r="D723" s="54"/>
      <c r="E723" s="54"/>
      <c r="F723" s="54"/>
      <c r="G723" s="64"/>
      <c r="H723" s="54"/>
      <c r="I723" s="54"/>
    </row>
    <row r="724">
      <c r="C724" s="54"/>
      <c r="D724" s="54"/>
      <c r="E724" s="54"/>
      <c r="F724" s="54"/>
      <c r="G724" s="64"/>
      <c r="H724" s="54"/>
      <c r="I724" s="54"/>
    </row>
    <row r="725">
      <c r="C725" s="54"/>
      <c r="D725" s="54"/>
      <c r="E725" s="54"/>
      <c r="F725" s="54"/>
      <c r="G725" s="64"/>
      <c r="H725" s="54"/>
      <c r="I725" s="54"/>
    </row>
    <row r="726">
      <c r="C726" s="54"/>
      <c r="D726" s="54"/>
      <c r="E726" s="54"/>
      <c r="F726" s="54"/>
      <c r="G726" s="64"/>
      <c r="H726" s="54"/>
      <c r="I726" s="54"/>
    </row>
    <row r="727">
      <c r="C727" s="54"/>
      <c r="D727" s="54"/>
      <c r="E727" s="54"/>
      <c r="F727" s="54"/>
      <c r="G727" s="64"/>
      <c r="H727" s="54"/>
      <c r="I727" s="54"/>
    </row>
    <row r="728">
      <c r="C728" s="54"/>
      <c r="D728" s="54"/>
      <c r="E728" s="54"/>
      <c r="F728" s="54"/>
      <c r="G728" s="64"/>
      <c r="H728" s="54"/>
      <c r="I728" s="54"/>
    </row>
    <row r="729">
      <c r="C729" s="54"/>
      <c r="D729" s="54"/>
      <c r="E729" s="54"/>
      <c r="F729" s="54"/>
      <c r="G729" s="64"/>
      <c r="H729" s="54"/>
      <c r="I729" s="54"/>
    </row>
    <row r="730">
      <c r="C730" s="54"/>
      <c r="D730" s="54"/>
      <c r="E730" s="54"/>
      <c r="F730" s="54"/>
      <c r="G730" s="64"/>
      <c r="H730" s="54"/>
      <c r="I730" s="54"/>
    </row>
    <row r="731">
      <c r="C731" s="54"/>
      <c r="D731" s="54"/>
      <c r="E731" s="54"/>
      <c r="F731" s="54"/>
      <c r="G731" s="64"/>
      <c r="H731" s="54"/>
      <c r="I731" s="54"/>
    </row>
    <row r="732">
      <c r="C732" s="54"/>
      <c r="D732" s="54"/>
      <c r="E732" s="54"/>
      <c r="F732" s="54"/>
      <c r="G732" s="64"/>
      <c r="H732" s="54"/>
      <c r="I732" s="54"/>
    </row>
    <row r="733">
      <c r="C733" s="54"/>
      <c r="D733" s="54"/>
      <c r="E733" s="54"/>
      <c r="F733" s="54"/>
      <c r="G733" s="64"/>
      <c r="H733" s="54"/>
      <c r="I733" s="54"/>
    </row>
    <row r="734">
      <c r="C734" s="54"/>
      <c r="D734" s="54"/>
      <c r="E734" s="54"/>
      <c r="F734" s="54"/>
      <c r="G734" s="64"/>
      <c r="H734" s="54"/>
      <c r="I734" s="54"/>
    </row>
    <row r="735">
      <c r="C735" s="54"/>
      <c r="D735" s="54"/>
      <c r="E735" s="54"/>
      <c r="F735" s="54"/>
      <c r="G735" s="64"/>
      <c r="H735" s="54"/>
      <c r="I735" s="54"/>
    </row>
    <row r="736">
      <c r="C736" s="54"/>
      <c r="D736" s="54"/>
      <c r="E736" s="54"/>
      <c r="F736" s="54"/>
      <c r="G736" s="64"/>
      <c r="H736" s="54"/>
      <c r="I736" s="54"/>
    </row>
    <row r="737">
      <c r="C737" s="54"/>
      <c r="D737" s="54"/>
      <c r="E737" s="54"/>
      <c r="F737" s="54"/>
      <c r="G737" s="64"/>
      <c r="H737" s="54"/>
      <c r="I737" s="54"/>
    </row>
    <row r="738">
      <c r="C738" s="54"/>
      <c r="D738" s="54"/>
      <c r="E738" s="54"/>
      <c r="F738" s="54"/>
      <c r="G738" s="64"/>
      <c r="H738" s="54"/>
      <c r="I738" s="54"/>
    </row>
    <row r="739">
      <c r="C739" s="54"/>
      <c r="D739" s="54"/>
      <c r="E739" s="54"/>
      <c r="F739" s="54"/>
      <c r="G739" s="64"/>
      <c r="H739" s="54"/>
      <c r="I739" s="54"/>
    </row>
    <row r="740">
      <c r="C740" s="54"/>
      <c r="D740" s="54"/>
      <c r="E740" s="54"/>
      <c r="F740" s="54"/>
      <c r="G740" s="64"/>
      <c r="H740" s="54"/>
      <c r="I740" s="54"/>
    </row>
    <row r="741">
      <c r="C741" s="54"/>
      <c r="D741" s="54"/>
      <c r="E741" s="54"/>
      <c r="F741" s="54"/>
      <c r="G741" s="64"/>
      <c r="H741" s="54"/>
      <c r="I741" s="54"/>
    </row>
    <row r="742">
      <c r="C742" s="54"/>
      <c r="D742" s="54"/>
      <c r="E742" s="54"/>
      <c r="F742" s="54"/>
      <c r="G742" s="64"/>
      <c r="H742" s="54"/>
      <c r="I742" s="54"/>
    </row>
    <row r="743">
      <c r="C743" s="54"/>
      <c r="D743" s="54"/>
      <c r="E743" s="54"/>
      <c r="F743" s="54"/>
      <c r="G743" s="64"/>
      <c r="H743" s="54"/>
      <c r="I743" s="54"/>
    </row>
    <row r="744">
      <c r="C744" s="54"/>
      <c r="D744" s="54"/>
      <c r="E744" s="54"/>
      <c r="F744" s="54"/>
      <c r="G744" s="64"/>
      <c r="H744" s="54"/>
      <c r="I744" s="54"/>
    </row>
    <row r="745">
      <c r="C745" s="54"/>
      <c r="D745" s="54"/>
      <c r="E745" s="54"/>
      <c r="F745" s="54"/>
      <c r="G745" s="64"/>
      <c r="H745" s="54"/>
      <c r="I745" s="54"/>
    </row>
    <row r="746">
      <c r="C746" s="54"/>
      <c r="D746" s="54"/>
      <c r="E746" s="54"/>
      <c r="F746" s="54"/>
      <c r="G746" s="64"/>
      <c r="H746" s="54"/>
      <c r="I746" s="54"/>
    </row>
    <row r="747">
      <c r="C747" s="54"/>
      <c r="D747" s="54"/>
      <c r="E747" s="54"/>
      <c r="F747" s="54"/>
      <c r="G747" s="64"/>
      <c r="H747" s="54"/>
      <c r="I747" s="54"/>
    </row>
    <row r="748">
      <c r="C748" s="54"/>
      <c r="D748" s="54"/>
      <c r="E748" s="54"/>
      <c r="F748" s="54"/>
      <c r="G748" s="64"/>
      <c r="H748" s="54"/>
      <c r="I748" s="54"/>
    </row>
    <row r="749">
      <c r="C749" s="54"/>
      <c r="D749" s="54"/>
      <c r="E749" s="54"/>
      <c r="F749" s="54"/>
      <c r="G749" s="64"/>
      <c r="H749" s="54"/>
      <c r="I749" s="54"/>
    </row>
    <row r="750">
      <c r="C750" s="54"/>
      <c r="D750" s="54"/>
      <c r="E750" s="54"/>
      <c r="F750" s="54"/>
      <c r="G750" s="64"/>
      <c r="H750" s="54"/>
      <c r="I750" s="54"/>
    </row>
    <row r="751">
      <c r="C751" s="54"/>
      <c r="D751" s="54"/>
      <c r="E751" s="54"/>
      <c r="F751" s="54"/>
      <c r="G751" s="64"/>
      <c r="H751" s="54"/>
      <c r="I751" s="54"/>
    </row>
    <row r="752">
      <c r="C752" s="54"/>
      <c r="D752" s="54"/>
      <c r="E752" s="54"/>
      <c r="F752" s="54"/>
      <c r="G752" s="64"/>
      <c r="H752" s="54"/>
      <c r="I752" s="54"/>
    </row>
    <row r="753">
      <c r="C753" s="54"/>
      <c r="D753" s="54"/>
      <c r="E753" s="54"/>
      <c r="F753" s="54"/>
      <c r="G753" s="64"/>
      <c r="H753" s="54"/>
      <c r="I753" s="54"/>
    </row>
    <row r="754">
      <c r="C754" s="54"/>
      <c r="D754" s="54"/>
      <c r="E754" s="54"/>
      <c r="F754" s="54"/>
      <c r="G754" s="64"/>
      <c r="H754" s="54"/>
      <c r="I754" s="54"/>
    </row>
    <row r="755">
      <c r="C755" s="54"/>
      <c r="D755" s="54"/>
      <c r="E755" s="54"/>
      <c r="F755" s="54"/>
      <c r="G755" s="64"/>
      <c r="H755" s="54"/>
      <c r="I755" s="54"/>
    </row>
    <row r="756">
      <c r="C756" s="54"/>
      <c r="D756" s="54"/>
      <c r="E756" s="54"/>
      <c r="F756" s="54"/>
      <c r="G756" s="64"/>
      <c r="H756" s="54"/>
      <c r="I756" s="54"/>
    </row>
    <row r="757">
      <c r="C757" s="54"/>
      <c r="D757" s="54"/>
      <c r="E757" s="54"/>
      <c r="F757" s="54"/>
      <c r="G757" s="64"/>
      <c r="H757" s="54"/>
      <c r="I757" s="54"/>
    </row>
    <row r="758">
      <c r="C758" s="54"/>
      <c r="D758" s="54"/>
      <c r="E758" s="54"/>
      <c r="F758" s="54"/>
      <c r="G758" s="64"/>
      <c r="H758" s="54"/>
      <c r="I758" s="54"/>
    </row>
    <row r="759">
      <c r="C759" s="54"/>
      <c r="D759" s="54"/>
      <c r="E759" s="54"/>
      <c r="F759" s="54"/>
      <c r="G759" s="64"/>
      <c r="H759" s="54"/>
      <c r="I759" s="54"/>
    </row>
    <row r="760">
      <c r="C760" s="54"/>
      <c r="D760" s="54"/>
      <c r="E760" s="54"/>
      <c r="F760" s="54"/>
      <c r="G760" s="64"/>
      <c r="H760" s="54"/>
      <c r="I760" s="54"/>
    </row>
    <row r="761">
      <c r="C761" s="54"/>
      <c r="D761" s="54"/>
      <c r="E761" s="54"/>
      <c r="F761" s="54"/>
      <c r="G761" s="64"/>
      <c r="H761" s="54"/>
      <c r="I761" s="54"/>
    </row>
    <row r="762">
      <c r="C762" s="54"/>
      <c r="D762" s="54"/>
      <c r="E762" s="54"/>
      <c r="F762" s="54"/>
      <c r="G762" s="64"/>
      <c r="H762" s="54"/>
      <c r="I762" s="54"/>
    </row>
    <row r="763">
      <c r="C763" s="54"/>
      <c r="D763" s="54"/>
      <c r="E763" s="54"/>
      <c r="F763" s="54"/>
      <c r="G763" s="64"/>
      <c r="H763" s="54"/>
      <c r="I763" s="54"/>
    </row>
    <row r="764">
      <c r="C764" s="54"/>
      <c r="D764" s="54"/>
      <c r="E764" s="54"/>
      <c r="F764" s="54"/>
      <c r="G764" s="64"/>
      <c r="H764" s="54"/>
      <c r="I764" s="54"/>
    </row>
    <row r="765">
      <c r="C765" s="54"/>
      <c r="D765" s="54"/>
      <c r="E765" s="54"/>
      <c r="F765" s="54"/>
      <c r="G765" s="64"/>
      <c r="H765" s="54"/>
      <c r="I765" s="54"/>
    </row>
    <row r="766">
      <c r="C766" s="54"/>
      <c r="D766" s="54"/>
      <c r="E766" s="54"/>
      <c r="F766" s="54"/>
      <c r="G766" s="64"/>
      <c r="H766" s="54"/>
      <c r="I766" s="54"/>
    </row>
    <row r="767">
      <c r="C767" s="54"/>
      <c r="D767" s="54"/>
      <c r="E767" s="54"/>
      <c r="F767" s="54"/>
      <c r="G767" s="64"/>
      <c r="H767" s="54"/>
      <c r="I767" s="54"/>
    </row>
    <row r="768">
      <c r="C768" s="54"/>
      <c r="D768" s="54"/>
      <c r="E768" s="54"/>
      <c r="F768" s="54"/>
      <c r="G768" s="64"/>
      <c r="H768" s="54"/>
      <c r="I768" s="54"/>
    </row>
    <row r="769">
      <c r="C769" s="54"/>
      <c r="D769" s="54"/>
      <c r="E769" s="54"/>
      <c r="F769" s="54"/>
      <c r="G769" s="64"/>
      <c r="H769" s="54"/>
      <c r="I769" s="54"/>
    </row>
    <row r="770">
      <c r="C770" s="54"/>
      <c r="D770" s="54"/>
      <c r="E770" s="54"/>
      <c r="F770" s="54"/>
      <c r="G770" s="64"/>
      <c r="H770" s="54"/>
      <c r="I770" s="54"/>
    </row>
    <row r="771">
      <c r="C771" s="54"/>
      <c r="D771" s="54"/>
      <c r="E771" s="54"/>
      <c r="F771" s="54"/>
      <c r="G771" s="64"/>
      <c r="H771" s="54"/>
      <c r="I771" s="54"/>
    </row>
    <row r="772">
      <c r="C772" s="54"/>
      <c r="D772" s="54"/>
      <c r="E772" s="54"/>
      <c r="F772" s="54"/>
      <c r="G772" s="64"/>
      <c r="H772" s="54"/>
      <c r="I772" s="54"/>
    </row>
    <row r="773">
      <c r="C773" s="54"/>
      <c r="D773" s="54"/>
      <c r="E773" s="54"/>
      <c r="F773" s="54"/>
      <c r="G773" s="64"/>
      <c r="H773" s="54"/>
      <c r="I773" s="54"/>
    </row>
    <row r="774">
      <c r="C774" s="54"/>
      <c r="D774" s="54"/>
      <c r="E774" s="54"/>
      <c r="F774" s="54"/>
      <c r="G774" s="64"/>
      <c r="H774" s="54"/>
      <c r="I774" s="54"/>
    </row>
    <row r="775">
      <c r="C775" s="54"/>
      <c r="D775" s="54"/>
      <c r="E775" s="54"/>
      <c r="F775" s="54"/>
      <c r="G775" s="64"/>
      <c r="H775" s="54"/>
      <c r="I775" s="54"/>
    </row>
    <row r="776">
      <c r="C776" s="54"/>
      <c r="D776" s="54"/>
      <c r="E776" s="54"/>
      <c r="F776" s="54"/>
      <c r="G776" s="64"/>
      <c r="H776" s="54"/>
      <c r="I776" s="54"/>
    </row>
    <row r="777">
      <c r="C777" s="54"/>
      <c r="D777" s="54"/>
      <c r="E777" s="54"/>
      <c r="F777" s="54"/>
      <c r="G777" s="64"/>
      <c r="H777" s="54"/>
      <c r="I777" s="54"/>
    </row>
    <row r="778">
      <c r="C778" s="54"/>
      <c r="D778" s="54"/>
      <c r="E778" s="54"/>
      <c r="F778" s="54"/>
      <c r="G778" s="64"/>
      <c r="H778" s="54"/>
      <c r="I778" s="54"/>
    </row>
    <row r="779">
      <c r="C779" s="54"/>
      <c r="D779" s="54"/>
      <c r="E779" s="54"/>
      <c r="F779" s="54"/>
      <c r="G779" s="64"/>
      <c r="H779" s="54"/>
      <c r="I779" s="54"/>
    </row>
    <row r="780">
      <c r="C780" s="54"/>
      <c r="D780" s="54"/>
      <c r="E780" s="54"/>
      <c r="F780" s="54"/>
      <c r="G780" s="64"/>
      <c r="H780" s="54"/>
      <c r="I780" s="54"/>
    </row>
    <row r="781">
      <c r="C781" s="54"/>
      <c r="D781" s="54"/>
      <c r="E781" s="54"/>
      <c r="F781" s="54"/>
      <c r="G781" s="64"/>
      <c r="H781" s="54"/>
      <c r="I781" s="54"/>
    </row>
    <row r="782">
      <c r="C782" s="54"/>
      <c r="D782" s="54"/>
      <c r="E782" s="54"/>
      <c r="F782" s="54"/>
      <c r="G782" s="64"/>
      <c r="H782" s="54"/>
      <c r="I782" s="54"/>
    </row>
    <row r="783">
      <c r="C783" s="54"/>
      <c r="D783" s="54"/>
      <c r="E783" s="54"/>
      <c r="F783" s="54"/>
      <c r="G783" s="64"/>
      <c r="H783" s="54"/>
      <c r="I783" s="54"/>
    </row>
    <row r="784">
      <c r="C784" s="54"/>
      <c r="D784" s="54"/>
      <c r="E784" s="54"/>
      <c r="F784" s="54"/>
      <c r="G784" s="64"/>
      <c r="H784" s="54"/>
      <c r="I784" s="54"/>
    </row>
    <row r="785">
      <c r="C785" s="54"/>
      <c r="D785" s="54"/>
      <c r="E785" s="54"/>
      <c r="F785" s="54"/>
      <c r="G785" s="64"/>
      <c r="H785" s="54"/>
      <c r="I785" s="54"/>
    </row>
    <row r="786">
      <c r="C786" s="54"/>
      <c r="D786" s="54"/>
      <c r="E786" s="54"/>
      <c r="F786" s="54"/>
      <c r="G786" s="64"/>
      <c r="H786" s="54"/>
      <c r="I786" s="54"/>
    </row>
    <row r="787">
      <c r="C787" s="54"/>
      <c r="D787" s="54"/>
      <c r="E787" s="54"/>
      <c r="F787" s="54"/>
      <c r="G787" s="64"/>
      <c r="H787" s="54"/>
      <c r="I787" s="54"/>
    </row>
    <row r="788">
      <c r="C788" s="54"/>
      <c r="D788" s="54"/>
      <c r="E788" s="54"/>
      <c r="F788" s="54"/>
      <c r="G788" s="64"/>
      <c r="H788" s="54"/>
      <c r="I788" s="54"/>
    </row>
    <row r="789">
      <c r="C789" s="54"/>
      <c r="D789" s="54"/>
      <c r="E789" s="54"/>
      <c r="F789" s="54"/>
      <c r="G789" s="64"/>
      <c r="H789" s="54"/>
      <c r="I789" s="54"/>
    </row>
    <row r="790">
      <c r="C790" s="54"/>
      <c r="D790" s="54"/>
      <c r="E790" s="54"/>
      <c r="F790" s="54"/>
      <c r="G790" s="64"/>
      <c r="H790" s="54"/>
      <c r="I790" s="54"/>
    </row>
    <row r="791">
      <c r="C791" s="54"/>
      <c r="D791" s="54"/>
      <c r="E791" s="54"/>
      <c r="F791" s="54"/>
      <c r="G791" s="64"/>
      <c r="H791" s="54"/>
      <c r="I791" s="54"/>
    </row>
    <row r="792">
      <c r="C792" s="54"/>
      <c r="D792" s="54"/>
      <c r="E792" s="54"/>
      <c r="F792" s="54"/>
      <c r="G792" s="64"/>
      <c r="H792" s="54"/>
      <c r="I792" s="54"/>
    </row>
    <row r="793">
      <c r="C793" s="54"/>
      <c r="D793" s="54"/>
      <c r="E793" s="54"/>
      <c r="F793" s="54"/>
      <c r="G793" s="64"/>
      <c r="H793" s="54"/>
      <c r="I793" s="54"/>
    </row>
    <row r="794">
      <c r="C794" s="54"/>
      <c r="D794" s="54"/>
      <c r="E794" s="54"/>
      <c r="F794" s="54"/>
      <c r="G794" s="64"/>
      <c r="H794" s="54"/>
      <c r="I794" s="54"/>
    </row>
    <row r="795">
      <c r="C795" s="54"/>
      <c r="D795" s="54"/>
      <c r="E795" s="54"/>
      <c r="F795" s="54"/>
      <c r="G795" s="64"/>
      <c r="H795" s="54"/>
      <c r="I795" s="54"/>
    </row>
    <row r="796">
      <c r="C796" s="54"/>
      <c r="D796" s="54"/>
      <c r="E796" s="54"/>
      <c r="F796" s="54"/>
      <c r="G796" s="64"/>
      <c r="H796" s="54"/>
      <c r="I796" s="54"/>
    </row>
    <row r="797">
      <c r="C797" s="54"/>
      <c r="D797" s="54"/>
      <c r="E797" s="54"/>
      <c r="F797" s="54"/>
      <c r="G797" s="64"/>
      <c r="H797" s="54"/>
      <c r="I797" s="54"/>
    </row>
    <row r="798">
      <c r="C798" s="54"/>
      <c r="D798" s="54"/>
      <c r="E798" s="54"/>
      <c r="F798" s="54"/>
      <c r="G798" s="64"/>
      <c r="H798" s="54"/>
      <c r="I798" s="54"/>
    </row>
    <row r="799">
      <c r="C799" s="54"/>
      <c r="D799" s="54"/>
      <c r="E799" s="54"/>
      <c r="F799" s="54"/>
      <c r="G799" s="64"/>
      <c r="H799" s="54"/>
      <c r="I799" s="54"/>
    </row>
    <row r="800">
      <c r="C800" s="54"/>
      <c r="D800" s="54"/>
      <c r="E800" s="54"/>
      <c r="F800" s="54"/>
      <c r="G800" s="64"/>
      <c r="H800" s="54"/>
      <c r="I800" s="54"/>
    </row>
    <row r="801">
      <c r="C801" s="54"/>
      <c r="D801" s="54"/>
      <c r="E801" s="54"/>
      <c r="F801" s="54"/>
      <c r="G801" s="64"/>
      <c r="H801" s="54"/>
      <c r="I801" s="54"/>
    </row>
    <row r="802">
      <c r="C802" s="54"/>
      <c r="D802" s="54"/>
      <c r="E802" s="54"/>
      <c r="F802" s="54"/>
      <c r="G802" s="64"/>
      <c r="H802" s="54"/>
      <c r="I802" s="54"/>
    </row>
    <row r="803">
      <c r="C803" s="54"/>
      <c r="D803" s="54"/>
      <c r="E803" s="54"/>
      <c r="F803" s="54"/>
      <c r="G803" s="64"/>
      <c r="H803" s="54"/>
      <c r="I803" s="54"/>
    </row>
    <row r="804">
      <c r="C804" s="54"/>
      <c r="D804" s="54"/>
      <c r="E804" s="54"/>
      <c r="F804" s="54"/>
      <c r="G804" s="64"/>
      <c r="H804" s="54"/>
      <c r="I804" s="54"/>
    </row>
    <row r="805">
      <c r="C805" s="54"/>
      <c r="D805" s="54"/>
      <c r="E805" s="54"/>
      <c r="F805" s="54"/>
      <c r="G805" s="64"/>
      <c r="H805" s="54"/>
      <c r="I805" s="54"/>
    </row>
    <row r="806">
      <c r="C806" s="54"/>
      <c r="D806" s="54"/>
      <c r="E806" s="54"/>
      <c r="F806" s="54"/>
      <c r="G806" s="64"/>
      <c r="H806" s="54"/>
      <c r="I806" s="54"/>
    </row>
    <row r="807">
      <c r="C807" s="54"/>
      <c r="D807" s="54"/>
      <c r="E807" s="54"/>
      <c r="F807" s="54"/>
      <c r="G807" s="64"/>
      <c r="H807" s="54"/>
      <c r="I807" s="54"/>
    </row>
    <row r="808">
      <c r="C808" s="54"/>
      <c r="D808" s="54"/>
      <c r="E808" s="54"/>
      <c r="F808" s="54"/>
      <c r="G808" s="64"/>
      <c r="H808" s="54"/>
      <c r="I808" s="54"/>
    </row>
    <row r="809">
      <c r="C809" s="54"/>
      <c r="D809" s="54"/>
      <c r="E809" s="54"/>
      <c r="F809" s="54"/>
      <c r="G809" s="64"/>
      <c r="H809" s="54"/>
      <c r="I809" s="54"/>
    </row>
    <row r="810">
      <c r="C810" s="54"/>
      <c r="D810" s="54"/>
      <c r="E810" s="54"/>
      <c r="F810" s="54"/>
      <c r="G810" s="64"/>
      <c r="H810" s="54"/>
      <c r="I810" s="54"/>
    </row>
    <row r="811">
      <c r="C811" s="54"/>
      <c r="D811" s="54"/>
      <c r="E811" s="54"/>
      <c r="F811" s="54"/>
      <c r="G811" s="64"/>
      <c r="H811" s="54"/>
      <c r="I811" s="54"/>
    </row>
    <row r="812">
      <c r="C812" s="54"/>
      <c r="D812" s="54"/>
      <c r="E812" s="54"/>
      <c r="F812" s="54"/>
      <c r="G812" s="64"/>
      <c r="H812" s="54"/>
      <c r="I812" s="54"/>
    </row>
    <row r="813">
      <c r="C813" s="54"/>
      <c r="D813" s="54"/>
      <c r="E813" s="54"/>
      <c r="F813" s="54"/>
      <c r="G813" s="64"/>
      <c r="H813" s="54"/>
      <c r="I813" s="54"/>
    </row>
    <row r="814">
      <c r="C814" s="54"/>
      <c r="D814" s="54"/>
      <c r="E814" s="54"/>
      <c r="F814" s="54"/>
      <c r="G814" s="64"/>
      <c r="H814" s="54"/>
      <c r="I814" s="54"/>
    </row>
    <row r="815">
      <c r="C815" s="54"/>
      <c r="D815" s="54"/>
      <c r="E815" s="54"/>
      <c r="F815" s="54"/>
      <c r="G815" s="64"/>
      <c r="H815" s="54"/>
      <c r="I815" s="54"/>
    </row>
    <row r="816">
      <c r="C816" s="54"/>
      <c r="D816" s="54"/>
      <c r="E816" s="54"/>
      <c r="F816" s="54"/>
      <c r="G816" s="64"/>
      <c r="H816" s="54"/>
      <c r="I816" s="54"/>
    </row>
    <row r="817">
      <c r="C817" s="54"/>
      <c r="D817" s="54"/>
      <c r="E817" s="54"/>
      <c r="F817" s="54"/>
      <c r="G817" s="64"/>
      <c r="H817" s="54"/>
      <c r="I817" s="54"/>
    </row>
    <row r="818">
      <c r="C818" s="54"/>
      <c r="D818" s="54"/>
      <c r="E818" s="54"/>
      <c r="F818" s="54"/>
      <c r="G818" s="64"/>
      <c r="H818" s="54"/>
      <c r="I818" s="54"/>
    </row>
    <row r="819">
      <c r="C819" s="54"/>
      <c r="D819" s="54"/>
      <c r="E819" s="54"/>
      <c r="F819" s="54"/>
      <c r="G819" s="64"/>
      <c r="H819" s="54"/>
      <c r="I819" s="54"/>
    </row>
    <row r="820">
      <c r="C820" s="54"/>
      <c r="D820" s="54"/>
      <c r="E820" s="54"/>
      <c r="F820" s="54"/>
      <c r="G820" s="64"/>
      <c r="H820" s="54"/>
      <c r="I820" s="54"/>
    </row>
    <row r="821">
      <c r="C821" s="54"/>
      <c r="D821" s="54"/>
      <c r="E821" s="54"/>
      <c r="F821" s="54"/>
      <c r="G821" s="64"/>
      <c r="H821" s="54"/>
      <c r="I821" s="54"/>
    </row>
    <row r="822">
      <c r="C822" s="54"/>
      <c r="D822" s="54"/>
      <c r="E822" s="54"/>
      <c r="F822" s="54"/>
      <c r="G822" s="64"/>
      <c r="H822" s="54"/>
      <c r="I822" s="54"/>
    </row>
    <row r="823">
      <c r="C823" s="54"/>
      <c r="D823" s="54"/>
      <c r="E823" s="54"/>
      <c r="F823" s="54"/>
      <c r="G823" s="64"/>
      <c r="H823" s="54"/>
      <c r="I823" s="54"/>
    </row>
    <row r="824">
      <c r="C824" s="54"/>
      <c r="D824" s="54"/>
      <c r="E824" s="54"/>
      <c r="F824" s="54"/>
      <c r="G824" s="64"/>
      <c r="H824" s="54"/>
      <c r="I824" s="54"/>
    </row>
    <row r="825">
      <c r="C825" s="54"/>
      <c r="D825" s="54"/>
      <c r="E825" s="54"/>
      <c r="F825" s="54"/>
      <c r="G825" s="64"/>
      <c r="H825" s="54"/>
      <c r="I825" s="54"/>
    </row>
    <row r="826">
      <c r="C826" s="54"/>
      <c r="D826" s="54"/>
      <c r="E826" s="54"/>
      <c r="F826" s="54"/>
      <c r="G826" s="64"/>
      <c r="H826" s="54"/>
      <c r="I826" s="54"/>
    </row>
    <row r="827">
      <c r="C827" s="54"/>
      <c r="D827" s="54"/>
      <c r="E827" s="54"/>
      <c r="F827" s="54"/>
      <c r="G827" s="64"/>
      <c r="H827" s="54"/>
      <c r="I827" s="54"/>
    </row>
    <row r="828">
      <c r="C828" s="54"/>
      <c r="D828" s="54"/>
      <c r="E828" s="54"/>
      <c r="F828" s="54"/>
      <c r="G828" s="64"/>
      <c r="H828" s="54"/>
      <c r="I828" s="54"/>
    </row>
    <row r="829">
      <c r="C829" s="54"/>
      <c r="D829" s="54"/>
      <c r="E829" s="54"/>
      <c r="F829" s="54"/>
      <c r="G829" s="64"/>
      <c r="H829" s="54"/>
      <c r="I829" s="54"/>
    </row>
    <row r="830">
      <c r="C830" s="54"/>
      <c r="D830" s="54"/>
      <c r="E830" s="54"/>
      <c r="F830" s="54"/>
      <c r="G830" s="64"/>
      <c r="H830" s="54"/>
      <c r="I830" s="54"/>
    </row>
    <row r="831">
      <c r="C831" s="54"/>
      <c r="D831" s="54"/>
      <c r="E831" s="54"/>
      <c r="F831" s="54"/>
      <c r="G831" s="64"/>
      <c r="H831" s="54"/>
      <c r="I831" s="54"/>
    </row>
    <row r="832">
      <c r="C832" s="54"/>
      <c r="D832" s="54"/>
      <c r="E832" s="54"/>
      <c r="F832" s="54"/>
      <c r="G832" s="64"/>
      <c r="H832" s="54"/>
      <c r="I832" s="54"/>
    </row>
    <row r="833">
      <c r="C833" s="54"/>
      <c r="D833" s="54"/>
      <c r="E833" s="54"/>
      <c r="F833" s="54"/>
      <c r="G833" s="64"/>
      <c r="H833" s="54"/>
      <c r="I833" s="54"/>
    </row>
    <row r="834">
      <c r="C834" s="54"/>
      <c r="D834" s="54"/>
      <c r="E834" s="54"/>
      <c r="F834" s="54"/>
      <c r="G834" s="64"/>
      <c r="H834" s="54"/>
      <c r="I834" s="54"/>
    </row>
    <row r="835">
      <c r="C835" s="54"/>
      <c r="D835" s="54"/>
      <c r="E835" s="54"/>
      <c r="F835" s="54"/>
      <c r="G835" s="64"/>
      <c r="H835" s="54"/>
      <c r="I835" s="54"/>
    </row>
    <row r="836">
      <c r="C836" s="54"/>
      <c r="D836" s="54"/>
      <c r="E836" s="54"/>
      <c r="F836" s="54"/>
      <c r="G836" s="64"/>
      <c r="H836" s="54"/>
      <c r="I836" s="54"/>
    </row>
    <row r="837">
      <c r="C837" s="54"/>
      <c r="D837" s="54"/>
      <c r="E837" s="54"/>
      <c r="F837" s="54"/>
      <c r="G837" s="64"/>
      <c r="H837" s="54"/>
      <c r="I837" s="54"/>
    </row>
    <row r="838">
      <c r="C838" s="54"/>
      <c r="D838" s="54"/>
      <c r="E838" s="54"/>
      <c r="F838" s="54"/>
      <c r="G838" s="64"/>
      <c r="H838" s="54"/>
      <c r="I838" s="54"/>
    </row>
    <row r="839">
      <c r="C839" s="54"/>
      <c r="D839" s="54"/>
      <c r="E839" s="54"/>
      <c r="F839" s="54"/>
      <c r="G839" s="64"/>
      <c r="H839" s="54"/>
      <c r="I839" s="54"/>
    </row>
    <row r="840">
      <c r="C840" s="54"/>
      <c r="D840" s="54"/>
      <c r="E840" s="54"/>
      <c r="F840" s="54"/>
      <c r="G840" s="64"/>
      <c r="H840" s="54"/>
      <c r="I840" s="54"/>
    </row>
    <row r="841">
      <c r="C841" s="54"/>
      <c r="D841" s="54"/>
      <c r="E841" s="54"/>
      <c r="F841" s="54"/>
      <c r="G841" s="64"/>
      <c r="H841" s="54"/>
      <c r="I841" s="54"/>
    </row>
    <row r="842">
      <c r="C842" s="54"/>
      <c r="D842" s="54"/>
      <c r="E842" s="54"/>
      <c r="F842" s="54"/>
      <c r="G842" s="64"/>
      <c r="H842" s="54"/>
      <c r="I842" s="54"/>
    </row>
    <row r="843">
      <c r="C843" s="54"/>
      <c r="D843" s="54"/>
      <c r="E843" s="54"/>
      <c r="F843" s="54"/>
      <c r="G843" s="64"/>
      <c r="H843" s="54"/>
      <c r="I843" s="54"/>
    </row>
    <row r="844">
      <c r="C844" s="54"/>
      <c r="D844" s="54"/>
      <c r="E844" s="54"/>
      <c r="F844" s="54"/>
      <c r="G844" s="64"/>
      <c r="H844" s="54"/>
      <c r="I844" s="54"/>
    </row>
    <row r="845">
      <c r="C845" s="54"/>
      <c r="D845" s="54"/>
      <c r="E845" s="54"/>
      <c r="F845" s="54"/>
      <c r="G845" s="64"/>
      <c r="H845" s="54"/>
      <c r="I845" s="54"/>
    </row>
    <row r="846">
      <c r="C846" s="54"/>
      <c r="D846" s="54"/>
      <c r="E846" s="54"/>
      <c r="F846" s="54"/>
      <c r="G846" s="64"/>
      <c r="H846" s="54"/>
      <c r="I846" s="54"/>
    </row>
    <row r="847">
      <c r="C847" s="54"/>
      <c r="D847" s="54"/>
      <c r="E847" s="54"/>
      <c r="F847" s="54"/>
      <c r="G847" s="64"/>
      <c r="H847" s="54"/>
      <c r="I847" s="54"/>
    </row>
    <row r="848">
      <c r="C848" s="54"/>
      <c r="D848" s="54"/>
      <c r="E848" s="54"/>
      <c r="F848" s="54"/>
      <c r="G848" s="64"/>
      <c r="H848" s="54"/>
      <c r="I848" s="54"/>
    </row>
    <row r="849">
      <c r="C849" s="54"/>
      <c r="D849" s="54"/>
      <c r="E849" s="54"/>
      <c r="F849" s="54"/>
      <c r="G849" s="64"/>
      <c r="H849" s="54"/>
      <c r="I849" s="54"/>
    </row>
    <row r="850">
      <c r="C850" s="54"/>
      <c r="D850" s="54"/>
      <c r="E850" s="54"/>
      <c r="F850" s="54"/>
      <c r="G850" s="64"/>
      <c r="H850" s="54"/>
      <c r="I850" s="54"/>
    </row>
    <row r="851">
      <c r="C851" s="54"/>
      <c r="D851" s="54"/>
      <c r="E851" s="54"/>
      <c r="F851" s="54"/>
      <c r="G851" s="64"/>
      <c r="H851" s="54"/>
      <c r="I851" s="54"/>
    </row>
    <row r="852">
      <c r="C852" s="54"/>
      <c r="D852" s="54"/>
      <c r="E852" s="54"/>
      <c r="F852" s="54"/>
      <c r="G852" s="64"/>
      <c r="H852" s="54"/>
      <c r="I852" s="54"/>
    </row>
    <row r="853">
      <c r="C853" s="54"/>
      <c r="D853" s="54"/>
      <c r="E853" s="54"/>
      <c r="F853" s="54"/>
      <c r="G853" s="64"/>
      <c r="H853" s="54"/>
      <c r="I853" s="54"/>
    </row>
    <row r="854">
      <c r="C854" s="54"/>
      <c r="D854" s="54"/>
      <c r="E854" s="54"/>
      <c r="F854" s="54"/>
      <c r="G854" s="64"/>
      <c r="H854" s="54"/>
      <c r="I854" s="54"/>
    </row>
    <row r="855">
      <c r="C855" s="54"/>
      <c r="D855" s="54"/>
      <c r="E855" s="54"/>
      <c r="F855" s="54"/>
      <c r="G855" s="64"/>
      <c r="H855" s="54"/>
      <c r="I855" s="54"/>
    </row>
    <row r="856">
      <c r="C856" s="54"/>
      <c r="D856" s="54"/>
      <c r="E856" s="54"/>
      <c r="F856" s="54"/>
      <c r="G856" s="64"/>
      <c r="H856" s="54"/>
      <c r="I856" s="54"/>
    </row>
    <row r="857">
      <c r="C857" s="54"/>
      <c r="D857" s="54"/>
      <c r="E857" s="54"/>
      <c r="F857" s="54"/>
      <c r="G857" s="64"/>
      <c r="H857" s="54"/>
      <c r="I857" s="54"/>
    </row>
    <row r="858">
      <c r="C858" s="54"/>
      <c r="D858" s="54"/>
      <c r="E858" s="54"/>
      <c r="F858" s="54"/>
      <c r="G858" s="64"/>
      <c r="H858" s="54"/>
      <c r="I858" s="54"/>
    </row>
    <row r="859">
      <c r="C859" s="54"/>
      <c r="D859" s="54"/>
      <c r="E859" s="54"/>
      <c r="F859" s="54"/>
      <c r="G859" s="64"/>
      <c r="H859" s="54"/>
      <c r="I859" s="54"/>
    </row>
    <row r="860">
      <c r="C860" s="54"/>
      <c r="D860" s="54"/>
      <c r="E860" s="54"/>
      <c r="F860" s="54"/>
      <c r="G860" s="64"/>
      <c r="H860" s="54"/>
      <c r="I860" s="54"/>
    </row>
    <row r="861">
      <c r="C861" s="54"/>
      <c r="D861" s="54"/>
      <c r="E861" s="54"/>
      <c r="F861" s="54"/>
      <c r="G861" s="64"/>
      <c r="H861" s="54"/>
      <c r="I861" s="54"/>
    </row>
    <row r="862">
      <c r="C862" s="54"/>
      <c r="D862" s="54"/>
      <c r="E862" s="54"/>
      <c r="F862" s="54"/>
      <c r="G862" s="64"/>
      <c r="H862" s="54"/>
      <c r="I862" s="54"/>
    </row>
    <row r="863">
      <c r="C863" s="54"/>
      <c r="D863" s="54"/>
      <c r="E863" s="54"/>
      <c r="F863" s="54"/>
      <c r="G863" s="64"/>
      <c r="H863" s="54"/>
      <c r="I863" s="54"/>
    </row>
    <row r="864">
      <c r="C864" s="54"/>
      <c r="D864" s="54"/>
      <c r="E864" s="54"/>
      <c r="F864" s="54"/>
      <c r="G864" s="64"/>
      <c r="H864" s="54"/>
      <c r="I864" s="54"/>
    </row>
    <row r="865">
      <c r="C865" s="54"/>
      <c r="D865" s="54"/>
      <c r="E865" s="54"/>
      <c r="F865" s="54"/>
      <c r="G865" s="64"/>
      <c r="H865" s="54"/>
      <c r="I865" s="54"/>
    </row>
    <row r="866">
      <c r="C866" s="54"/>
      <c r="D866" s="54"/>
      <c r="E866" s="54"/>
      <c r="F866" s="54"/>
      <c r="G866" s="64"/>
      <c r="H866" s="54"/>
      <c r="I866" s="54"/>
    </row>
    <row r="867">
      <c r="C867" s="54"/>
      <c r="D867" s="54"/>
      <c r="E867" s="54"/>
      <c r="F867" s="54"/>
      <c r="G867" s="64"/>
      <c r="H867" s="54"/>
      <c r="I867" s="54"/>
    </row>
    <row r="868">
      <c r="C868" s="54"/>
      <c r="D868" s="54"/>
      <c r="E868" s="54"/>
      <c r="F868" s="54"/>
      <c r="G868" s="64"/>
      <c r="H868" s="54"/>
      <c r="I868" s="54"/>
    </row>
    <row r="869">
      <c r="C869" s="54"/>
      <c r="D869" s="54"/>
      <c r="E869" s="54"/>
      <c r="F869" s="54"/>
      <c r="G869" s="64"/>
      <c r="H869" s="54"/>
      <c r="I869" s="54"/>
    </row>
    <row r="870">
      <c r="C870" s="54"/>
      <c r="D870" s="54"/>
      <c r="E870" s="54"/>
      <c r="F870" s="54"/>
      <c r="G870" s="64"/>
      <c r="H870" s="54"/>
      <c r="I870" s="54"/>
    </row>
    <row r="871">
      <c r="C871" s="54"/>
      <c r="D871" s="54"/>
      <c r="E871" s="54"/>
      <c r="F871" s="54"/>
      <c r="G871" s="64"/>
      <c r="H871" s="54"/>
      <c r="I871" s="54"/>
    </row>
    <row r="872">
      <c r="C872" s="54"/>
      <c r="D872" s="54"/>
      <c r="E872" s="54"/>
      <c r="F872" s="54"/>
      <c r="G872" s="64"/>
      <c r="H872" s="54"/>
      <c r="I872" s="54"/>
    </row>
    <row r="873">
      <c r="C873" s="54"/>
      <c r="D873" s="54"/>
      <c r="E873" s="54"/>
      <c r="F873" s="54"/>
      <c r="G873" s="64"/>
      <c r="H873" s="54"/>
      <c r="I873" s="54"/>
    </row>
    <row r="874">
      <c r="C874" s="54"/>
      <c r="D874" s="54"/>
      <c r="E874" s="54"/>
      <c r="F874" s="54"/>
      <c r="G874" s="64"/>
      <c r="H874" s="54"/>
      <c r="I874" s="54"/>
    </row>
    <row r="875">
      <c r="C875" s="54"/>
      <c r="D875" s="54"/>
      <c r="E875" s="54"/>
      <c r="F875" s="54"/>
      <c r="G875" s="64"/>
      <c r="H875" s="54"/>
      <c r="I875" s="54"/>
    </row>
    <row r="876">
      <c r="C876" s="54"/>
      <c r="D876" s="54"/>
      <c r="E876" s="54"/>
      <c r="F876" s="54"/>
      <c r="G876" s="64"/>
      <c r="H876" s="54"/>
      <c r="I876" s="54"/>
    </row>
    <row r="877">
      <c r="C877" s="54"/>
      <c r="D877" s="54"/>
      <c r="E877" s="54"/>
      <c r="F877" s="54"/>
      <c r="G877" s="64"/>
      <c r="H877" s="54"/>
      <c r="I877" s="54"/>
    </row>
    <row r="878">
      <c r="C878" s="54"/>
      <c r="D878" s="54"/>
      <c r="E878" s="54"/>
      <c r="F878" s="54"/>
      <c r="G878" s="64"/>
      <c r="H878" s="54"/>
      <c r="I878" s="54"/>
    </row>
    <row r="879">
      <c r="C879" s="54"/>
      <c r="D879" s="54"/>
      <c r="E879" s="54"/>
      <c r="F879" s="54"/>
      <c r="G879" s="64"/>
      <c r="H879" s="54"/>
      <c r="I879" s="54"/>
    </row>
    <row r="880">
      <c r="C880" s="54"/>
      <c r="D880" s="54"/>
      <c r="E880" s="54"/>
      <c r="F880" s="54"/>
      <c r="G880" s="64"/>
      <c r="H880" s="54"/>
      <c r="I880" s="54"/>
    </row>
    <row r="881">
      <c r="C881" s="54"/>
      <c r="D881" s="54"/>
      <c r="E881" s="54"/>
      <c r="F881" s="54"/>
      <c r="G881" s="64"/>
      <c r="H881" s="54"/>
      <c r="I881" s="54"/>
    </row>
    <row r="882">
      <c r="C882" s="54"/>
      <c r="D882" s="54"/>
      <c r="E882" s="54"/>
      <c r="F882" s="54"/>
      <c r="G882" s="64"/>
      <c r="H882" s="54"/>
      <c r="I882" s="54"/>
    </row>
    <row r="883">
      <c r="C883" s="54"/>
      <c r="D883" s="54"/>
      <c r="E883" s="54"/>
      <c r="F883" s="54"/>
      <c r="G883" s="64"/>
      <c r="H883" s="54"/>
      <c r="I883" s="54"/>
    </row>
    <row r="884">
      <c r="C884" s="54"/>
      <c r="D884" s="54"/>
      <c r="E884" s="54"/>
      <c r="F884" s="54"/>
      <c r="G884" s="64"/>
      <c r="H884" s="54"/>
      <c r="I884" s="54"/>
    </row>
    <row r="885">
      <c r="C885" s="54"/>
      <c r="D885" s="54"/>
      <c r="E885" s="54"/>
      <c r="F885" s="54"/>
      <c r="G885" s="64"/>
      <c r="H885" s="54"/>
      <c r="I885" s="54"/>
    </row>
    <row r="886">
      <c r="C886" s="54"/>
      <c r="D886" s="54"/>
      <c r="E886" s="54"/>
      <c r="F886" s="54"/>
      <c r="G886" s="64"/>
      <c r="H886" s="54"/>
      <c r="I886" s="54"/>
    </row>
    <row r="887">
      <c r="C887" s="54"/>
      <c r="D887" s="54"/>
      <c r="E887" s="54"/>
      <c r="F887" s="54"/>
      <c r="G887" s="64"/>
      <c r="H887" s="54"/>
      <c r="I887" s="54"/>
    </row>
    <row r="888">
      <c r="C888" s="54"/>
      <c r="D888" s="54"/>
      <c r="E888" s="54"/>
      <c r="F888" s="54"/>
      <c r="G888" s="64"/>
      <c r="H888" s="54"/>
      <c r="I888" s="54"/>
    </row>
    <row r="889">
      <c r="C889" s="54"/>
      <c r="D889" s="54"/>
      <c r="E889" s="54"/>
      <c r="F889" s="54"/>
      <c r="G889" s="64"/>
      <c r="H889" s="54"/>
      <c r="I889" s="54"/>
    </row>
    <row r="890">
      <c r="C890" s="54"/>
      <c r="D890" s="54"/>
      <c r="E890" s="54"/>
      <c r="F890" s="54"/>
      <c r="G890" s="64"/>
      <c r="H890" s="54"/>
      <c r="I890" s="54"/>
    </row>
    <row r="891">
      <c r="C891" s="54"/>
      <c r="D891" s="54"/>
      <c r="E891" s="54"/>
      <c r="F891" s="54"/>
      <c r="G891" s="64"/>
      <c r="H891" s="54"/>
      <c r="I891" s="54"/>
    </row>
    <row r="892">
      <c r="C892" s="54"/>
      <c r="D892" s="54"/>
      <c r="E892" s="54"/>
      <c r="F892" s="54"/>
      <c r="G892" s="64"/>
      <c r="H892" s="54"/>
      <c r="I892" s="54"/>
    </row>
    <row r="893">
      <c r="C893" s="54"/>
      <c r="D893" s="54"/>
      <c r="E893" s="54"/>
      <c r="F893" s="54"/>
      <c r="G893" s="64"/>
      <c r="H893" s="54"/>
      <c r="I893" s="54"/>
    </row>
    <row r="894">
      <c r="C894" s="54"/>
      <c r="D894" s="54"/>
      <c r="E894" s="54"/>
      <c r="F894" s="54"/>
      <c r="G894" s="64"/>
      <c r="H894" s="54"/>
      <c r="I894" s="54"/>
    </row>
    <row r="895">
      <c r="C895" s="54"/>
      <c r="D895" s="54"/>
      <c r="E895" s="54"/>
      <c r="F895" s="54"/>
      <c r="G895" s="64"/>
      <c r="H895" s="54"/>
      <c r="I895" s="54"/>
    </row>
    <row r="896">
      <c r="C896" s="54"/>
      <c r="D896" s="54"/>
      <c r="E896" s="54"/>
      <c r="F896" s="54"/>
      <c r="G896" s="64"/>
      <c r="H896" s="54"/>
      <c r="I896" s="54"/>
    </row>
    <row r="897">
      <c r="C897" s="54"/>
      <c r="D897" s="54"/>
      <c r="E897" s="54"/>
      <c r="F897" s="54"/>
      <c r="G897" s="64"/>
      <c r="H897" s="54"/>
      <c r="I897" s="54"/>
    </row>
    <row r="898">
      <c r="C898" s="54"/>
      <c r="D898" s="54"/>
      <c r="E898" s="54"/>
      <c r="F898" s="54"/>
      <c r="G898" s="64"/>
      <c r="H898" s="54"/>
      <c r="I898" s="54"/>
    </row>
    <row r="899">
      <c r="C899" s="54"/>
      <c r="D899" s="54"/>
      <c r="E899" s="54"/>
      <c r="F899" s="54"/>
      <c r="G899" s="64"/>
      <c r="H899" s="54"/>
      <c r="I899" s="54"/>
    </row>
    <row r="900">
      <c r="C900" s="54"/>
      <c r="D900" s="54"/>
      <c r="E900" s="54"/>
      <c r="F900" s="54"/>
      <c r="G900" s="64"/>
      <c r="H900" s="54"/>
      <c r="I900" s="54"/>
    </row>
    <row r="901">
      <c r="C901" s="54"/>
      <c r="D901" s="54"/>
      <c r="E901" s="54"/>
      <c r="F901" s="54"/>
      <c r="G901" s="64"/>
      <c r="H901" s="54"/>
      <c r="I901" s="54"/>
    </row>
    <row r="902">
      <c r="C902" s="54"/>
      <c r="D902" s="54"/>
      <c r="E902" s="54"/>
      <c r="F902" s="54"/>
      <c r="G902" s="64"/>
      <c r="H902" s="54"/>
      <c r="I902" s="54"/>
    </row>
    <row r="903">
      <c r="C903" s="54"/>
      <c r="D903" s="54"/>
      <c r="E903" s="54"/>
      <c r="F903" s="54"/>
      <c r="G903" s="64"/>
      <c r="H903" s="54"/>
      <c r="I903" s="54"/>
    </row>
    <row r="904">
      <c r="C904" s="54"/>
      <c r="D904" s="54"/>
      <c r="E904" s="54"/>
      <c r="F904" s="54"/>
      <c r="G904" s="64"/>
      <c r="H904" s="54"/>
      <c r="I904" s="54"/>
    </row>
    <row r="905">
      <c r="C905" s="54"/>
      <c r="D905" s="54"/>
      <c r="E905" s="54"/>
      <c r="F905" s="54"/>
      <c r="G905" s="64"/>
      <c r="H905" s="54"/>
      <c r="I905" s="54"/>
    </row>
    <row r="906">
      <c r="C906" s="54"/>
      <c r="D906" s="54"/>
      <c r="E906" s="54"/>
      <c r="F906" s="54"/>
      <c r="G906" s="64"/>
      <c r="H906" s="54"/>
      <c r="I906" s="54"/>
    </row>
    <row r="907">
      <c r="C907" s="54"/>
      <c r="D907" s="54"/>
      <c r="E907" s="54"/>
      <c r="F907" s="54"/>
      <c r="G907" s="64"/>
      <c r="H907" s="54"/>
      <c r="I907" s="54"/>
    </row>
    <row r="908">
      <c r="C908" s="54"/>
      <c r="D908" s="54"/>
      <c r="E908" s="54"/>
      <c r="F908" s="54"/>
      <c r="G908" s="64"/>
      <c r="H908" s="54"/>
      <c r="I908" s="54"/>
    </row>
    <row r="909">
      <c r="C909" s="54"/>
      <c r="D909" s="54"/>
      <c r="E909" s="54"/>
      <c r="F909" s="54"/>
      <c r="G909" s="64"/>
      <c r="H909" s="54"/>
      <c r="I909" s="54"/>
    </row>
    <row r="910">
      <c r="C910" s="54"/>
      <c r="D910" s="54"/>
      <c r="E910" s="54"/>
      <c r="F910" s="54"/>
      <c r="G910" s="64"/>
      <c r="H910" s="54"/>
      <c r="I910" s="54"/>
    </row>
    <row r="911">
      <c r="C911" s="54"/>
      <c r="D911" s="54"/>
      <c r="E911" s="54"/>
      <c r="F911" s="54"/>
      <c r="G911" s="64"/>
      <c r="H911" s="54"/>
      <c r="I911" s="54"/>
    </row>
    <row r="912">
      <c r="C912" s="54"/>
      <c r="D912" s="54"/>
      <c r="E912" s="54"/>
      <c r="F912" s="54"/>
      <c r="G912" s="64"/>
      <c r="H912" s="54"/>
      <c r="I912" s="54"/>
    </row>
    <row r="913">
      <c r="C913" s="54"/>
      <c r="D913" s="54"/>
      <c r="E913" s="54"/>
      <c r="F913" s="54"/>
      <c r="G913" s="64"/>
      <c r="H913" s="54"/>
      <c r="I913" s="54"/>
    </row>
    <row r="914">
      <c r="C914" s="54"/>
      <c r="D914" s="54"/>
      <c r="E914" s="54"/>
      <c r="F914" s="54"/>
      <c r="G914" s="64"/>
      <c r="H914" s="54"/>
      <c r="I914" s="54"/>
    </row>
    <row r="915">
      <c r="C915" s="54"/>
      <c r="D915" s="54"/>
      <c r="E915" s="54"/>
      <c r="F915" s="54"/>
      <c r="G915" s="64"/>
      <c r="H915" s="54"/>
      <c r="I915" s="54"/>
    </row>
    <row r="916">
      <c r="C916" s="54"/>
      <c r="D916" s="54"/>
      <c r="E916" s="54"/>
      <c r="F916" s="54"/>
      <c r="G916" s="64"/>
      <c r="H916" s="54"/>
      <c r="I916" s="54"/>
    </row>
    <row r="917">
      <c r="C917" s="54"/>
      <c r="D917" s="54"/>
      <c r="E917" s="54"/>
      <c r="F917" s="54"/>
      <c r="G917" s="64"/>
      <c r="H917" s="54"/>
      <c r="I917" s="54"/>
    </row>
    <row r="918">
      <c r="C918" s="54"/>
      <c r="D918" s="54"/>
      <c r="E918" s="54"/>
      <c r="F918" s="54"/>
      <c r="G918" s="64"/>
      <c r="H918" s="54"/>
      <c r="I918" s="54"/>
    </row>
    <row r="919">
      <c r="C919" s="54"/>
      <c r="D919" s="54"/>
      <c r="E919" s="54"/>
      <c r="F919" s="54"/>
      <c r="G919" s="64"/>
      <c r="H919" s="54"/>
      <c r="I919" s="54"/>
    </row>
    <row r="920">
      <c r="C920" s="54"/>
      <c r="D920" s="54"/>
      <c r="E920" s="54"/>
      <c r="F920" s="54"/>
      <c r="G920" s="64"/>
      <c r="H920" s="54"/>
      <c r="I920" s="54"/>
    </row>
    <row r="921">
      <c r="C921" s="54"/>
      <c r="D921" s="54"/>
      <c r="E921" s="54"/>
      <c r="F921" s="54"/>
      <c r="G921" s="64"/>
      <c r="H921" s="54"/>
      <c r="I921" s="54"/>
    </row>
    <row r="922">
      <c r="C922" s="54"/>
      <c r="D922" s="54"/>
      <c r="E922" s="54"/>
      <c r="F922" s="54"/>
      <c r="G922" s="64"/>
      <c r="H922" s="54"/>
      <c r="I922" s="54"/>
    </row>
    <row r="923">
      <c r="C923" s="54"/>
      <c r="D923" s="54"/>
      <c r="E923" s="54"/>
      <c r="F923" s="54"/>
      <c r="G923" s="64"/>
      <c r="H923" s="54"/>
      <c r="I923" s="54"/>
    </row>
    <row r="924">
      <c r="C924" s="54"/>
      <c r="D924" s="54"/>
      <c r="E924" s="54"/>
      <c r="F924" s="54"/>
      <c r="G924" s="64"/>
      <c r="H924" s="54"/>
      <c r="I924" s="54"/>
    </row>
    <row r="925">
      <c r="C925" s="54"/>
      <c r="D925" s="54"/>
      <c r="E925" s="54"/>
      <c r="F925" s="54"/>
      <c r="G925" s="64"/>
      <c r="H925" s="54"/>
      <c r="I925" s="54"/>
    </row>
    <row r="926">
      <c r="C926" s="54"/>
      <c r="D926" s="54"/>
      <c r="E926" s="54"/>
      <c r="F926" s="54"/>
      <c r="G926" s="64"/>
      <c r="H926" s="54"/>
      <c r="I926" s="54"/>
    </row>
    <row r="927">
      <c r="C927" s="54"/>
      <c r="D927" s="54"/>
      <c r="E927" s="54"/>
      <c r="F927" s="54"/>
      <c r="G927" s="64"/>
      <c r="H927" s="54"/>
      <c r="I927" s="54"/>
    </row>
    <row r="928">
      <c r="C928" s="54"/>
      <c r="D928" s="54"/>
      <c r="E928" s="54"/>
      <c r="F928" s="54"/>
      <c r="G928" s="64"/>
      <c r="H928" s="54"/>
      <c r="I928" s="54"/>
    </row>
    <row r="929">
      <c r="C929" s="54"/>
      <c r="D929" s="54"/>
      <c r="E929" s="54"/>
      <c r="F929" s="54"/>
      <c r="G929" s="64"/>
      <c r="H929" s="54"/>
      <c r="I929" s="54"/>
    </row>
    <row r="930">
      <c r="C930" s="54"/>
      <c r="D930" s="54"/>
      <c r="E930" s="54"/>
      <c r="F930" s="54"/>
      <c r="G930" s="64"/>
      <c r="H930" s="54"/>
      <c r="I930" s="54"/>
    </row>
    <row r="931">
      <c r="C931" s="54"/>
      <c r="D931" s="54"/>
      <c r="E931" s="54"/>
      <c r="F931" s="54"/>
      <c r="G931" s="64"/>
      <c r="H931" s="54"/>
      <c r="I931" s="54"/>
    </row>
    <row r="932">
      <c r="C932" s="54"/>
      <c r="D932" s="54"/>
      <c r="E932" s="54"/>
      <c r="F932" s="54"/>
      <c r="G932" s="64"/>
      <c r="H932" s="54"/>
      <c r="I932" s="54"/>
    </row>
    <row r="933">
      <c r="C933" s="54"/>
      <c r="D933" s="54"/>
      <c r="E933" s="54"/>
      <c r="F933" s="54"/>
      <c r="G933" s="64"/>
      <c r="H933" s="54"/>
      <c r="I933" s="54"/>
    </row>
    <row r="934">
      <c r="C934" s="54"/>
      <c r="D934" s="54"/>
      <c r="E934" s="54"/>
      <c r="F934" s="54"/>
      <c r="G934" s="64"/>
      <c r="H934" s="54"/>
      <c r="I934" s="54"/>
    </row>
    <row r="935">
      <c r="C935" s="54"/>
      <c r="D935" s="54"/>
      <c r="E935" s="54"/>
      <c r="F935" s="54"/>
      <c r="G935" s="64"/>
      <c r="H935" s="54"/>
      <c r="I935" s="54"/>
    </row>
    <row r="936">
      <c r="C936" s="54"/>
      <c r="D936" s="54"/>
      <c r="E936" s="54"/>
      <c r="F936" s="54"/>
      <c r="G936" s="64"/>
      <c r="H936" s="54"/>
      <c r="I936" s="54"/>
    </row>
    <row r="937">
      <c r="C937" s="54"/>
      <c r="D937" s="54"/>
      <c r="E937" s="54"/>
      <c r="F937" s="54"/>
      <c r="G937" s="64"/>
      <c r="H937" s="54"/>
      <c r="I937" s="54"/>
    </row>
    <row r="938">
      <c r="C938" s="54"/>
      <c r="D938" s="54"/>
      <c r="E938" s="54"/>
      <c r="F938" s="54"/>
      <c r="G938" s="64"/>
      <c r="H938" s="54"/>
      <c r="I938" s="54"/>
    </row>
    <row r="939">
      <c r="C939" s="54"/>
      <c r="D939" s="54"/>
      <c r="E939" s="54"/>
      <c r="F939" s="54"/>
      <c r="G939" s="64"/>
      <c r="H939" s="54"/>
      <c r="I939" s="54"/>
    </row>
    <row r="940">
      <c r="C940" s="54"/>
      <c r="D940" s="54"/>
      <c r="E940" s="54"/>
      <c r="F940" s="54"/>
      <c r="G940" s="64"/>
      <c r="H940" s="54"/>
      <c r="I940" s="54"/>
    </row>
    <row r="941">
      <c r="C941" s="54"/>
      <c r="D941" s="54"/>
      <c r="E941" s="54"/>
      <c r="F941" s="54"/>
      <c r="G941" s="64"/>
      <c r="H941" s="54"/>
      <c r="I941" s="54"/>
    </row>
    <row r="942">
      <c r="C942" s="54"/>
      <c r="D942" s="54"/>
      <c r="E942" s="54"/>
      <c r="F942" s="54"/>
      <c r="G942" s="64"/>
      <c r="H942" s="54"/>
      <c r="I942" s="54"/>
    </row>
    <row r="943">
      <c r="C943" s="54"/>
      <c r="D943" s="54"/>
      <c r="E943" s="54"/>
      <c r="F943" s="54"/>
      <c r="G943" s="64"/>
      <c r="H943" s="54"/>
      <c r="I943" s="54"/>
    </row>
    <row r="944">
      <c r="C944" s="54"/>
      <c r="D944" s="54"/>
      <c r="E944" s="54"/>
      <c r="F944" s="54"/>
      <c r="G944" s="64"/>
      <c r="H944" s="54"/>
      <c r="I944" s="54"/>
    </row>
    <row r="945">
      <c r="C945" s="54"/>
      <c r="D945" s="54"/>
      <c r="E945" s="54"/>
      <c r="F945" s="54"/>
      <c r="G945" s="64"/>
      <c r="H945" s="54"/>
      <c r="I945" s="54"/>
    </row>
    <row r="946">
      <c r="C946" s="54"/>
      <c r="D946" s="54"/>
      <c r="E946" s="54"/>
      <c r="F946" s="54"/>
      <c r="G946" s="64"/>
      <c r="H946" s="54"/>
      <c r="I946" s="54"/>
    </row>
    <row r="947">
      <c r="C947" s="54"/>
      <c r="D947" s="54"/>
      <c r="E947" s="54"/>
      <c r="F947" s="54"/>
      <c r="G947" s="64"/>
      <c r="H947" s="54"/>
      <c r="I947" s="54"/>
    </row>
    <row r="948">
      <c r="C948" s="54"/>
      <c r="D948" s="54"/>
      <c r="E948" s="54"/>
      <c r="F948" s="54"/>
      <c r="G948" s="64"/>
      <c r="H948" s="54"/>
      <c r="I948" s="54"/>
    </row>
    <row r="949">
      <c r="C949" s="54"/>
      <c r="D949" s="54"/>
      <c r="E949" s="54"/>
      <c r="F949" s="54"/>
      <c r="G949" s="64"/>
      <c r="H949" s="54"/>
      <c r="I949" s="54"/>
    </row>
    <row r="950">
      <c r="C950" s="54"/>
      <c r="D950" s="54"/>
      <c r="E950" s="54"/>
      <c r="F950" s="54"/>
      <c r="G950" s="64"/>
      <c r="H950" s="54"/>
      <c r="I950" s="54"/>
    </row>
    <row r="951">
      <c r="C951" s="54"/>
      <c r="D951" s="54"/>
      <c r="E951" s="54"/>
      <c r="F951" s="54"/>
      <c r="G951" s="64"/>
      <c r="H951" s="54"/>
      <c r="I951" s="54"/>
    </row>
    <row r="952">
      <c r="C952" s="54"/>
      <c r="D952" s="54"/>
      <c r="E952" s="54"/>
      <c r="F952" s="54"/>
      <c r="G952" s="64"/>
      <c r="H952" s="54"/>
      <c r="I952" s="54"/>
    </row>
    <row r="953">
      <c r="C953" s="54"/>
      <c r="D953" s="54"/>
      <c r="E953" s="54"/>
      <c r="F953" s="54"/>
      <c r="G953" s="64"/>
      <c r="H953" s="54"/>
      <c r="I953" s="54"/>
    </row>
    <row r="954">
      <c r="C954" s="54"/>
      <c r="D954" s="54"/>
      <c r="E954" s="54"/>
      <c r="F954" s="54"/>
      <c r="G954" s="64"/>
      <c r="H954" s="54"/>
      <c r="I954" s="54"/>
    </row>
    <row r="955">
      <c r="C955" s="54"/>
      <c r="D955" s="54"/>
      <c r="E955" s="54"/>
      <c r="F955" s="54"/>
      <c r="G955" s="64"/>
      <c r="H955" s="54"/>
      <c r="I955" s="54"/>
    </row>
    <row r="956">
      <c r="C956" s="54"/>
      <c r="D956" s="54"/>
      <c r="E956" s="54"/>
      <c r="F956" s="54"/>
      <c r="G956" s="64"/>
      <c r="H956" s="54"/>
      <c r="I956" s="54"/>
    </row>
    <row r="957">
      <c r="C957" s="54"/>
      <c r="D957" s="54"/>
      <c r="E957" s="54"/>
      <c r="F957" s="54"/>
      <c r="G957" s="64"/>
      <c r="H957" s="54"/>
      <c r="I957" s="54"/>
    </row>
    <row r="958">
      <c r="C958" s="54"/>
      <c r="D958" s="54"/>
      <c r="E958" s="54"/>
      <c r="F958" s="54"/>
      <c r="G958" s="64"/>
      <c r="H958" s="54"/>
      <c r="I958" s="54"/>
    </row>
    <row r="959">
      <c r="C959" s="54"/>
      <c r="D959" s="54"/>
      <c r="E959" s="54"/>
      <c r="F959" s="54"/>
      <c r="G959" s="64"/>
      <c r="H959" s="54"/>
      <c r="I959" s="54"/>
    </row>
    <row r="960">
      <c r="C960" s="54"/>
      <c r="D960" s="54"/>
      <c r="E960" s="54"/>
      <c r="F960" s="54"/>
      <c r="G960" s="64"/>
      <c r="H960" s="54"/>
      <c r="I960" s="54"/>
    </row>
    <row r="961">
      <c r="C961" s="54"/>
      <c r="D961" s="54"/>
      <c r="E961" s="54"/>
      <c r="F961" s="54"/>
      <c r="G961" s="64"/>
      <c r="H961" s="54"/>
      <c r="I961" s="54"/>
    </row>
    <row r="962">
      <c r="C962" s="54"/>
      <c r="D962" s="54"/>
      <c r="E962" s="54"/>
      <c r="F962" s="54"/>
      <c r="G962" s="64"/>
      <c r="H962" s="54"/>
      <c r="I962" s="54"/>
    </row>
    <row r="963">
      <c r="C963" s="54"/>
      <c r="D963" s="54"/>
      <c r="E963" s="54"/>
      <c r="F963" s="54"/>
      <c r="G963" s="64"/>
      <c r="H963" s="54"/>
      <c r="I963" s="54"/>
    </row>
    <row r="964">
      <c r="C964" s="54"/>
      <c r="D964" s="54"/>
      <c r="E964" s="54"/>
      <c r="F964" s="54"/>
      <c r="G964" s="64"/>
      <c r="H964" s="54"/>
      <c r="I964" s="54"/>
    </row>
    <row r="965">
      <c r="C965" s="54"/>
      <c r="D965" s="54"/>
      <c r="E965" s="54"/>
      <c r="F965" s="54"/>
      <c r="G965" s="64"/>
      <c r="H965" s="54"/>
      <c r="I965" s="54"/>
    </row>
    <row r="966">
      <c r="C966" s="54"/>
      <c r="D966" s="54"/>
      <c r="E966" s="54"/>
      <c r="F966" s="54"/>
      <c r="G966" s="64"/>
      <c r="H966" s="54"/>
      <c r="I966" s="54"/>
    </row>
    <row r="967">
      <c r="C967" s="54"/>
      <c r="D967" s="54"/>
      <c r="E967" s="54"/>
      <c r="F967" s="54"/>
      <c r="G967" s="64"/>
      <c r="H967" s="54"/>
      <c r="I967" s="54"/>
    </row>
    <row r="968">
      <c r="C968" s="54"/>
      <c r="D968" s="54"/>
      <c r="E968" s="54"/>
      <c r="F968" s="54"/>
      <c r="G968" s="64"/>
      <c r="H968" s="54"/>
      <c r="I968" s="54"/>
    </row>
    <row r="969">
      <c r="C969" s="54"/>
      <c r="D969" s="54"/>
      <c r="E969" s="54"/>
      <c r="F969" s="54"/>
      <c r="G969" s="64"/>
      <c r="H969" s="54"/>
      <c r="I969" s="54"/>
    </row>
    <row r="970">
      <c r="C970" s="54"/>
      <c r="D970" s="54"/>
      <c r="E970" s="54"/>
      <c r="F970" s="54"/>
      <c r="G970" s="64"/>
      <c r="H970" s="54"/>
      <c r="I970" s="54"/>
    </row>
    <row r="971">
      <c r="C971" s="54"/>
      <c r="D971" s="54"/>
      <c r="E971" s="54"/>
      <c r="F971" s="54"/>
      <c r="G971" s="64"/>
      <c r="H971" s="54"/>
      <c r="I971" s="54"/>
    </row>
    <row r="972">
      <c r="C972" s="54"/>
      <c r="D972" s="54"/>
      <c r="E972" s="54"/>
      <c r="F972" s="54"/>
      <c r="G972" s="64"/>
      <c r="H972" s="54"/>
      <c r="I972" s="54"/>
    </row>
    <row r="973">
      <c r="C973" s="54"/>
      <c r="D973" s="54"/>
      <c r="E973" s="54"/>
      <c r="F973" s="54"/>
      <c r="G973" s="64"/>
      <c r="H973" s="54"/>
      <c r="I973" s="54"/>
    </row>
    <row r="974">
      <c r="C974" s="54"/>
      <c r="D974" s="54"/>
      <c r="E974" s="54"/>
      <c r="F974" s="54"/>
      <c r="G974" s="64"/>
      <c r="H974" s="54"/>
      <c r="I974" s="54"/>
    </row>
    <row r="975">
      <c r="C975" s="54"/>
      <c r="D975" s="54"/>
      <c r="E975" s="54"/>
      <c r="F975" s="54"/>
      <c r="G975" s="64"/>
      <c r="H975" s="54"/>
      <c r="I975" s="54"/>
    </row>
    <row r="976">
      <c r="C976" s="54"/>
      <c r="D976" s="54"/>
      <c r="E976" s="54"/>
      <c r="F976" s="54"/>
      <c r="G976" s="64"/>
      <c r="H976" s="54"/>
      <c r="I976" s="54"/>
    </row>
    <row r="977">
      <c r="C977" s="54"/>
      <c r="D977" s="54"/>
      <c r="E977" s="54"/>
      <c r="F977" s="54"/>
      <c r="G977" s="64"/>
      <c r="H977" s="54"/>
      <c r="I977" s="54"/>
    </row>
    <row r="978">
      <c r="C978" s="54"/>
      <c r="D978" s="54"/>
      <c r="E978" s="54"/>
      <c r="F978" s="54"/>
      <c r="G978" s="64"/>
      <c r="H978" s="54"/>
      <c r="I978" s="54"/>
    </row>
    <row r="979">
      <c r="C979" s="54"/>
      <c r="D979" s="54"/>
      <c r="E979" s="54"/>
      <c r="F979" s="54"/>
      <c r="G979" s="64"/>
      <c r="H979" s="54"/>
      <c r="I979" s="54"/>
    </row>
    <row r="980">
      <c r="C980" s="54"/>
      <c r="D980" s="54"/>
      <c r="E980" s="54"/>
      <c r="F980" s="54"/>
      <c r="G980" s="64"/>
      <c r="H980" s="54"/>
      <c r="I980" s="54"/>
    </row>
    <row r="981">
      <c r="C981" s="54"/>
      <c r="D981" s="54"/>
      <c r="E981" s="54"/>
      <c r="F981" s="54"/>
      <c r="G981" s="64"/>
      <c r="H981" s="54"/>
      <c r="I981" s="54"/>
    </row>
    <row r="982">
      <c r="C982" s="54"/>
      <c r="D982" s="54"/>
      <c r="E982" s="54"/>
      <c r="F982" s="54"/>
      <c r="G982" s="64"/>
      <c r="H982" s="54"/>
      <c r="I982" s="54"/>
    </row>
    <row r="983">
      <c r="C983" s="54"/>
      <c r="D983" s="54"/>
      <c r="E983" s="54"/>
      <c r="F983" s="54"/>
      <c r="G983" s="64"/>
      <c r="H983" s="54"/>
      <c r="I983" s="54"/>
    </row>
    <row r="984">
      <c r="C984" s="54"/>
      <c r="D984" s="54"/>
      <c r="E984" s="54"/>
      <c r="F984" s="54"/>
      <c r="G984" s="64"/>
      <c r="H984" s="54"/>
      <c r="I984" s="54"/>
    </row>
    <row r="985">
      <c r="C985" s="54"/>
      <c r="D985" s="54"/>
      <c r="E985" s="54"/>
      <c r="F985" s="54"/>
      <c r="G985" s="64"/>
      <c r="H985" s="54"/>
      <c r="I985" s="54"/>
    </row>
    <row r="986">
      <c r="C986" s="54"/>
      <c r="D986" s="54"/>
      <c r="E986" s="54"/>
      <c r="F986" s="54"/>
      <c r="G986" s="64"/>
      <c r="H986" s="54"/>
      <c r="I986" s="54"/>
    </row>
    <row r="987">
      <c r="C987" s="54"/>
      <c r="D987" s="54"/>
      <c r="E987" s="54"/>
      <c r="F987" s="54"/>
      <c r="G987" s="64"/>
      <c r="H987" s="54"/>
      <c r="I987" s="54"/>
    </row>
    <row r="988">
      <c r="C988" s="54"/>
      <c r="D988" s="54"/>
      <c r="E988" s="54"/>
      <c r="F988" s="54"/>
      <c r="G988" s="64"/>
      <c r="H988" s="54"/>
      <c r="I988" s="54"/>
    </row>
    <row r="989">
      <c r="C989" s="54"/>
      <c r="D989" s="54"/>
      <c r="E989" s="54"/>
      <c r="F989" s="54"/>
      <c r="G989" s="64"/>
      <c r="H989" s="54"/>
      <c r="I989" s="54"/>
    </row>
    <row r="990">
      <c r="C990" s="54"/>
      <c r="D990" s="54"/>
      <c r="E990" s="54"/>
      <c r="F990" s="54"/>
      <c r="G990" s="64"/>
      <c r="H990" s="54"/>
      <c r="I990" s="54"/>
    </row>
    <row r="991">
      <c r="C991" s="54"/>
      <c r="D991" s="54"/>
      <c r="E991" s="54"/>
      <c r="F991" s="54"/>
      <c r="G991" s="64"/>
      <c r="H991" s="54"/>
      <c r="I991" s="54"/>
    </row>
    <row r="992">
      <c r="C992" s="54"/>
      <c r="D992" s="54"/>
      <c r="E992" s="54"/>
      <c r="F992" s="54"/>
      <c r="G992" s="64"/>
      <c r="H992" s="54"/>
      <c r="I992" s="54"/>
    </row>
    <row r="993">
      <c r="C993" s="54"/>
      <c r="D993" s="54"/>
      <c r="E993" s="54"/>
      <c r="F993" s="54"/>
      <c r="G993" s="64"/>
      <c r="H993" s="54"/>
      <c r="I993" s="54"/>
    </row>
    <row r="994">
      <c r="C994" s="54"/>
      <c r="D994" s="54"/>
      <c r="E994" s="54"/>
      <c r="F994" s="54"/>
      <c r="G994" s="64"/>
      <c r="H994" s="54"/>
      <c r="I994" s="54"/>
    </row>
    <row r="995">
      <c r="C995" s="54"/>
      <c r="D995" s="54"/>
      <c r="E995" s="54"/>
      <c r="F995" s="54"/>
      <c r="G995" s="64"/>
      <c r="H995" s="54"/>
      <c r="I995" s="54"/>
    </row>
    <row r="996">
      <c r="C996" s="54"/>
      <c r="D996" s="54"/>
      <c r="E996" s="54"/>
      <c r="F996" s="54"/>
      <c r="G996" s="64"/>
      <c r="H996" s="54"/>
      <c r="I996" s="54"/>
    </row>
    <row r="997">
      <c r="C997" s="54"/>
      <c r="D997" s="54"/>
      <c r="E997" s="54"/>
      <c r="F997" s="54"/>
      <c r="G997" s="64"/>
      <c r="H997" s="54"/>
      <c r="I997" s="54"/>
    </row>
    <row r="998">
      <c r="C998" s="54"/>
      <c r="D998" s="54"/>
      <c r="E998" s="54"/>
      <c r="F998" s="54"/>
      <c r="G998" s="64"/>
      <c r="H998" s="54"/>
      <c r="I998" s="54"/>
    </row>
    <row r="999">
      <c r="C999" s="54"/>
      <c r="D999" s="54"/>
      <c r="E999" s="54"/>
      <c r="F999" s="54"/>
      <c r="G999" s="64"/>
      <c r="H999" s="54"/>
      <c r="I999" s="54"/>
    </row>
    <row r="1000">
      <c r="C1000" s="54"/>
      <c r="D1000" s="54"/>
      <c r="E1000" s="54"/>
      <c r="F1000" s="54"/>
      <c r="G1000" s="64"/>
      <c r="H1000" s="54"/>
      <c r="I1000" s="5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2" max="9" width="15.13"/>
  </cols>
  <sheetData>
    <row r="1">
      <c r="A1" s="65"/>
      <c r="B1" s="66" t="s">
        <v>725</v>
      </c>
      <c r="C1" s="66" t="s">
        <v>726</v>
      </c>
      <c r="D1" s="66" t="s">
        <v>727</v>
      </c>
      <c r="E1" s="66" t="s">
        <v>728</v>
      </c>
      <c r="F1" s="66" t="s">
        <v>729</v>
      </c>
      <c r="G1" s="66" t="s">
        <v>730</v>
      </c>
      <c r="H1" s="66" t="s">
        <v>731</v>
      </c>
      <c r="I1" s="66" t="s">
        <v>732</v>
      </c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68" t="s">
        <v>22</v>
      </c>
      <c r="B2" s="69">
        <f>COUNTIFS(Main!$G:$G, "Crew", Main!$E:$E, "Male", Main!$H:$H, "Saved", Main!$D:$D, "&gt;14")</f>
        <v>23</v>
      </c>
      <c r="C2" s="69">
        <f>COUNTIFS(Main!$G:$G, "Crew", Main!$E:$E, "Female", Main!$H:$H, "Saved", Main!$D:$D, "&gt;14")</f>
        <v>4</v>
      </c>
      <c r="D2" s="69">
        <f>COUNTIFS(Main!$G:$G, "Crew", Main!$E:$E, "Male", Main!$H:$H, "Saved", Main!$D:$D, "&lt;=14")</f>
        <v>0</v>
      </c>
      <c r="E2" s="69">
        <f>COUNTIFS(Main!$G:$G, "Crew", Main!$E:$E, "Female", Main!$H:$H, "Saved", Main!$D:$D, "&lt;=14")</f>
        <v>0</v>
      </c>
      <c r="F2" s="70">
        <f>COUNTIFS(Main!$G:$G, "Crew", Main!$E:$E, "Male", Main!$H:$H, "Lost", Main!$D:$D, "&gt;14")</f>
        <v>134</v>
      </c>
      <c r="G2" s="70">
        <f>COUNTIFS(Main!$G:$G, "Crew", Main!$E:$E, "Female", Main!$H:$H, "Lost", Main!$D:$D, "&gt;14")</f>
        <v>0</v>
      </c>
      <c r="H2" s="70">
        <f>COUNTIFS(Main!$G:$G, "Crew", Main!$E:$E, "Male", Main!$H:$H, "Lost", Main!$D:$D, "&lt;=14")</f>
        <v>0</v>
      </c>
      <c r="I2" s="70">
        <f>COUNTIFS(Main!$G:$G, "Crew", Main!$E:$E, "Female", Main!$H:$H, "Lost", Main!$D:$D, "&lt;=14")</f>
        <v>0</v>
      </c>
      <c r="J2" s="71">
        <f t="shared" ref="J2:J5" si="1">sum(B2:I2)</f>
        <v>161</v>
      </c>
    </row>
    <row r="3">
      <c r="A3" s="68" t="s">
        <v>733</v>
      </c>
      <c r="B3" s="69">
        <f>COUNTIFS(Main!$G:$G, "1st Class", Main!$E:$E, "Male", Main!$H:$H, "Saved", Main!$D:$D, "&gt;14")</f>
        <v>12</v>
      </c>
      <c r="C3" s="69">
        <f>COUNTIFS(Main!$G:$G, "1st Class", Main!$E:$E, "Female", Main!$H:$H, "Saved", Main!$D:$D, "&gt;14")</f>
        <v>26</v>
      </c>
      <c r="D3" s="69">
        <f>COUNTIFS(Main!$G:$G, "1st Class", Main!$E:$E, "Male", Main!$H:$H, "Saved", Main!$D:$D, "&lt;=14")</f>
        <v>3</v>
      </c>
      <c r="E3" s="69">
        <f>COUNTIFS(Main!$G:$G, "1st Class", Main!$E:$E, "Female", Main!$H:$H, "Saved", Main!$D:$D, "&lt;=14")</f>
        <v>6</v>
      </c>
      <c r="F3" s="70">
        <f>COUNTIFS(Main!$G:$G, "1st Class", Main!$E:$E, "Male", Main!$H:$H, "Lost", Main!$D:$D, "&gt;14")</f>
        <v>18</v>
      </c>
      <c r="G3" s="70">
        <f>COUNTIFS(Main!$G:$G, "1st Class", Main!$E:$E, "Female", Main!$H:$H, "Lost", Main!$D:$D, "&gt;14")</f>
        <v>2</v>
      </c>
      <c r="H3" s="70">
        <f>COUNTIFS(Main!$G:$G, "1st Class", Main!$E:$E, "Male", Main!$H:$H, "Lost", Main!$D:$D, "&lt;=14")</f>
        <v>4</v>
      </c>
      <c r="I3" s="70">
        <f>COUNTIFS(Main!$G:$G, "1st Class", Main!$E:$E, "Female", Main!$H:$H, "Lost", Main!$D:$D, "&lt;=14")</f>
        <v>0</v>
      </c>
      <c r="J3" s="71">
        <f t="shared" si="1"/>
        <v>71</v>
      </c>
    </row>
    <row r="4">
      <c r="A4" s="68" t="s">
        <v>734</v>
      </c>
      <c r="B4" s="69">
        <f>COUNTIFS(Main!$G:$G, "2nd Class", Main!$E:$E, "Male", Main!$H:$H, "Saved", Main!$D:$D, "&gt;14")</f>
        <v>4</v>
      </c>
      <c r="C4" s="69">
        <f>COUNTIFS(Main!$G:$G, "2nd Class", Main!$E:$E, "Female", Main!$H:$H, "Saved", Main!$D:$D, "&gt;14")</f>
        <v>14</v>
      </c>
      <c r="D4" s="69">
        <f>COUNTIFS(Main!$G:$G, "2nd Class", Main!$E:$E, "Male", Main!$H:$H, "Saved", Main!$D:$D, "&lt;=14")</f>
        <v>1</v>
      </c>
      <c r="E4" s="69">
        <f>COUNTIFS(Main!$G:$G, "2nd Class", Main!$E:$E, "Female", Main!$H:$H, "Saved", Main!$D:$D, "&lt;=14")</f>
        <v>4</v>
      </c>
      <c r="F4" s="70">
        <f>COUNTIFS(Main!$G:$G, "2nd Class", Main!$E:$E, "Male", Main!$H:$H, "Lost", Main!$D:$D, "&gt;14")</f>
        <v>23</v>
      </c>
      <c r="G4" s="70">
        <f>COUNTIFS(Main!$G:$G, "2nd Class", Main!$E:$E, "Female", Main!$H:$H, "Lost", Main!$D:$D, "&gt;14")</f>
        <v>1</v>
      </c>
      <c r="H4" s="70">
        <f>COUNTIFS(Main!$G:$G, "2nd Class", Main!$E:$E, "Male", Main!$H:$H, "Lost", Main!$D:$D, "&lt;=14")</f>
        <v>4</v>
      </c>
      <c r="I4" s="70">
        <f>COUNTIFS(Main!$G:$G, "2nd Class", Main!$E:$E, "Female", Main!$H:$H, "Lost", Main!$D:$D, "&lt;=14")</f>
        <v>1</v>
      </c>
      <c r="J4" s="71">
        <f t="shared" si="1"/>
        <v>52</v>
      </c>
    </row>
    <row r="5">
      <c r="A5" s="68" t="s">
        <v>735</v>
      </c>
      <c r="B5" s="69">
        <f>COUNTIFS(Main!$G:$G, "3rd Class", Main!$E:$E, "Male", Main!$H:$H, "Saved", Main!$D:$D, "&gt;14")</f>
        <v>7</v>
      </c>
      <c r="C5" s="69">
        <f>COUNTIFS(Main!$G:$G, "3rd Class", Main!$E:$E, "Female", Main!$H:$H, "Saved", Main!$D:$D, "&gt;14")</f>
        <v>14</v>
      </c>
      <c r="D5" s="69">
        <f>COUNTIFS(Main!$G:$G, "3rd Class", Main!$E:$E, "Male", Main!$H:$H, "Saved", Main!$D:$D, "&lt;=14")</f>
        <v>3</v>
      </c>
      <c r="E5" s="69">
        <f>COUNTIFS(Main!$G:$G, "3rd Class", Main!$E:$E, "Female", Main!$H:$H, "Saved", Main!$D:$D, "&lt;=14")</f>
        <v>2</v>
      </c>
      <c r="F5" s="70">
        <f>COUNTIFS(Main!$G:$G, "3rd Class", Main!$E:$E, "Male", Main!$H:$H, "Lost", Main!$D:$D, "&gt;14")</f>
        <v>49</v>
      </c>
      <c r="G5" s="70">
        <f>COUNTIFS(Main!$G:$G, "3rd Class", Main!$E:$E, "Female", Main!$H:$H, "Lost", Main!$D:$D, "&gt;14")</f>
        <v>23</v>
      </c>
      <c r="H5" s="70">
        <f>COUNTIFS(Main!$G:$G, "3rd Class", Main!$E:$E, "Male", Main!$H:$H, "Lost", Main!$D:$D, "&lt;=14")</f>
        <v>17</v>
      </c>
      <c r="I5" s="70">
        <f>COUNTIFS(Main!$G:$G, "3rd Class", Main!$E:$E, "Female", Main!$H:$H, "Lost", Main!$D:$D, "&lt;=14")</f>
        <v>1</v>
      </c>
      <c r="J5" s="71">
        <f t="shared" si="1"/>
        <v>116</v>
      </c>
    </row>
    <row r="6">
      <c r="A6" s="72"/>
      <c r="B6" s="73">
        <f>COUNTIFS(Main!$E:$E, "Male", Main!$H:$H, "Saved", Main!$D:$D, "&gt;14")</f>
        <v>46</v>
      </c>
      <c r="C6" s="73">
        <f>COUNTIFS(Main!$E:$E, "Female", Main!$H:$H, "Saved", Main!$D:$D, "&gt;14")</f>
        <v>58</v>
      </c>
      <c r="D6" s="73">
        <f>COUNTIFS(Main!$E:$E, "Male", Main!$H:$H, "Saved", Main!$D:$D, "&lt;=14")</f>
        <v>7</v>
      </c>
      <c r="E6" s="73">
        <f>COUNTIFS(Main!$E:$E, "Female", Main!$H:$H, "Saved", Main!$D:$D, "&lt;=14")</f>
        <v>12</v>
      </c>
      <c r="F6" s="73">
        <f>COUNTIFS(Main!$E:$E, "Male", Main!$H:$H, "Lost", Main!$D:$D, "&gt;14")</f>
        <v>224</v>
      </c>
      <c r="G6" s="73">
        <f>COUNTIFS(Main!$E:$E, "Female", Main!$H:$H, "Lost", Main!$D:$D, "&gt;14")</f>
        <v>26</v>
      </c>
      <c r="H6" s="73">
        <f>COUNTIFS(Main!$E:$E, "Male", Main!$H:$H, "Lost", Main!$D:$D, "&lt;=14")</f>
        <v>25</v>
      </c>
      <c r="I6" s="73">
        <f>COUNTIFS(Main!$E:$E, "Female", Main!$H:$H, "Lost", Main!$D:$D, "&lt;=14")</f>
        <v>2</v>
      </c>
      <c r="J6" s="74">
        <f>SUM(J2:J5)</f>
        <v>400</v>
      </c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>
      <c r="A7" s="76"/>
      <c r="B7" s="54"/>
      <c r="C7" s="54"/>
      <c r="D7" s="54"/>
      <c r="E7" s="54"/>
      <c r="F7" s="54"/>
      <c r="G7" s="54"/>
      <c r="H7" s="54"/>
      <c r="I7" s="54"/>
    </row>
    <row r="8">
      <c r="A8" s="76"/>
      <c r="B8" s="77"/>
      <c r="C8" s="78" t="s">
        <v>736</v>
      </c>
      <c r="D8" s="78" t="s">
        <v>737</v>
      </c>
      <c r="E8" s="78" t="s">
        <v>738</v>
      </c>
      <c r="F8" s="79" t="s">
        <v>739</v>
      </c>
      <c r="G8" s="79" t="s">
        <v>740</v>
      </c>
      <c r="H8" s="54"/>
      <c r="I8" s="54"/>
    </row>
    <row r="9">
      <c r="A9" s="76"/>
      <c r="B9" s="80" t="s">
        <v>22</v>
      </c>
      <c r="C9" s="81">
        <f t="shared" ref="C9:F9" si="2">sum(B2,F2)</f>
        <v>157</v>
      </c>
      <c r="D9" s="81">
        <f t="shared" si="2"/>
        <v>4</v>
      </c>
      <c r="E9" s="81">
        <f t="shared" si="2"/>
        <v>0</v>
      </c>
      <c r="F9" s="82">
        <f t="shared" si="2"/>
        <v>0</v>
      </c>
      <c r="G9" s="83">
        <f>SUM(MULTIPLY(C19,C9),MULTIPLY(D19,D9),MULTIPLY(E19,E9), MULTIPLY(F19,F9))</f>
        <v>13282.5</v>
      </c>
      <c r="H9" s="84"/>
      <c r="I9" s="85" t="s">
        <v>741</v>
      </c>
      <c r="J9" s="86" t="s">
        <v>742</v>
      </c>
    </row>
    <row r="10">
      <c r="A10" s="76"/>
      <c r="B10" s="87" t="s">
        <v>733</v>
      </c>
      <c r="C10" s="88">
        <f t="shared" ref="C10:F10" si="3">sum(B3,F3)</f>
        <v>30</v>
      </c>
      <c r="D10" s="88">
        <f t="shared" si="3"/>
        <v>28</v>
      </c>
      <c r="E10" s="88">
        <f t="shared" si="3"/>
        <v>7</v>
      </c>
      <c r="F10" s="89">
        <f t="shared" si="3"/>
        <v>6</v>
      </c>
      <c r="G10" s="90">
        <f>SUM(MULTIPLY(C19,C10),MULTIPLY(D19,D10),MULTIPLY(E19,E10), MULTIPLY(F19,F10))</f>
        <v>5662.5</v>
      </c>
      <c r="H10" s="88">
        <f t="shared" ref="H10:H12" si="5">sum(C10:F10)</f>
        <v>71</v>
      </c>
      <c r="I10" s="91">
        <f>(DIVIDE(H10,(SUM(H10:H12))))</f>
        <v>0.2970711297</v>
      </c>
      <c r="J10" s="92">
        <f>(SUM(G10:G12))</f>
        <v>19027.5</v>
      </c>
    </row>
    <row r="11">
      <c r="A11" s="76"/>
      <c r="B11" s="93" t="s">
        <v>734</v>
      </c>
      <c r="C11" s="54">
        <f t="shared" ref="C11:F11" si="4">sum(B4,F4)</f>
        <v>27</v>
      </c>
      <c r="D11" s="54">
        <f t="shared" si="4"/>
        <v>15</v>
      </c>
      <c r="E11" s="54">
        <f t="shared" si="4"/>
        <v>5</v>
      </c>
      <c r="F11" s="94">
        <f t="shared" si="4"/>
        <v>5</v>
      </c>
      <c r="G11" s="95">
        <f>SUM(MULTIPLY(C19,C11),MULTIPLY(D19,D11),MULTIPLY(E19,E11), MULTIPLY(F19,F11))</f>
        <v>4140</v>
      </c>
      <c r="H11" s="54">
        <f t="shared" si="5"/>
        <v>52</v>
      </c>
      <c r="I11" s="96">
        <f>(DIVIDE(H11,(SUM(H10:H12))))</f>
        <v>0.2175732218</v>
      </c>
      <c r="J11" s="97"/>
    </row>
    <row r="12">
      <c r="A12" s="76"/>
      <c r="B12" s="87" t="s">
        <v>735</v>
      </c>
      <c r="C12" s="88">
        <f t="shared" ref="C12:F12" si="6">sum(B5,F5)</f>
        <v>56</v>
      </c>
      <c r="D12" s="88">
        <f t="shared" si="6"/>
        <v>37</v>
      </c>
      <c r="E12" s="88">
        <f t="shared" si="6"/>
        <v>20</v>
      </c>
      <c r="F12" s="89">
        <f t="shared" si="6"/>
        <v>3</v>
      </c>
      <c r="G12" s="90">
        <f>SUM(MULTIPLY(C19,C12),MULTIPLY(D19,D12),MULTIPLY(E19,E12), MULTIPLY(F19,F12))</f>
        <v>9225</v>
      </c>
      <c r="H12" s="98">
        <f t="shared" si="5"/>
        <v>116</v>
      </c>
      <c r="I12" s="99">
        <f>(DIVIDE(H12,(SUM(H10:H12))))</f>
        <v>0.4853556485</v>
      </c>
      <c r="J12" s="100"/>
    </row>
    <row r="13">
      <c r="A13" s="101"/>
      <c r="B13" s="102" t="s">
        <v>431</v>
      </c>
      <c r="C13" s="103">
        <f t="shared" ref="C13:F13" si="7">SUM(C9:C12)</f>
        <v>270</v>
      </c>
      <c r="D13" s="103">
        <f t="shared" si="7"/>
        <v>84</v>
      </c>
      <c r="E13" s="103">
        <f t="shared" si="7"/>
        <v>32</v>
      </c>
      <c r="F13" s="104">
        <f t="shared" si="7"/>
        <v>14</v>
      </c>
      <c r="G13" s="105">
        <f>SUM(MULTIPLY(C19,C13),MULTIPLY(D19,D13),MULTIPLY(E19,E13), MULTIPLY(F19,F13))</f>
        <v>32310</v>
      </c>
      <c r="H13" s="54"/>
      <c r="I13" s="54"/>
    </row>
    <row r="14">
      <c r="A14" s="76"/>
      <c r="B14" s="54"/>
      <c r="C14" s="54"/>
      <c r="D14" s="54"/>
      <c r="E14" s="54"/>
      <c r="F14" s="54"/>
      <c r="G14" s="54"/>
      <c r="H14" s="54"/>
      <c r="I14" s="54"/>
    </row>
    <row r="15">
      <c r="A15" s="76"/>
      <c r="B15" s="106"/>
      <c r="C15" s="78" t="s">
        <v>743</v>
      </c>
      <c r="D15" s="107"/>
      <c r="E15" s="107"/>
      <c r="F15" s="108"/>
      <c r="G15" s="54"/>
      <c r="H15" s="54"/>
      <c r="I15" s="54"/>
    </row>
    <row r="16">
      <c r="A16" s="76"/>
      <c r="B16" s="109"/>
      <c r="C16" s="12" t="s">
        <v>736</v>
      </c>
      <c r="D16" s="12" t="s">
        <v>737</v>
      </c>
      <c r="E16" s="12" t="s">
        <v>738</v>
      </c>
      <c r="F16" s="110" t="s">
        <v>739</v>
      </c>
      <c r="G16" s="54"/>
      <c r="H16" s="54"/>
      <c r="I16" s="54"/>
    </row>
    <row r="17">
      <c r="A17" s="76"/>
      <c r="B17" s="111" t="s">
        <v>744</v>
      </c>
      <c r="C17" s="112">
        <v>15.0</v>
      </c>
      <c r="D17" s="112">
        <v>15.0</v>
      </c>
      <c r="E17" s="112">
        <v>15.0</v>
      </c>
      <c r="F17" s="113">
        <v>15.0</v>
      </c>
      <c r="G17" s="54"/>
      <c r="H17" s="54"/>
      <c r="I17" s="54"/>
    </row>
    <row r="18">
      <c r="A18" s="76"/>
      <c r="B18" s="93" t="s">
        <v>745</v>
      </c>
      <c r="C18" s="114">
        <v>5.5</v>
      </c>
      <c r="D18" s="114">
        <v>5.5</v>
      </c>
      <c r="E18" s="114">
        <v>4.5</v>
      </c>
      <c r="F18" s="115">
        <v>4.5</v>
      </c>
      <c r="G18" s="54"/>
      <c r="H18" s="54"/>
      <c r="I18" s="54"/>
    </row>
    <row r="19">
      <c r="A19" s="76"/>
      <c r="B19" s="116" t="s">
        <v>746</v>
      </c>
      <c r="C19" s="117">
        <f t="shared" ref="C19:F19" si="8">MULTIPLY(C17,C18)</f>
        <v>82.5</v>
      </c>
      <c r="D19" s="117">
        <f t="shared" si="8"/>
        <v>82.5</v>
      </c>
      <c r="E19" s="117">
        <f t="shared" si="8"/>
        <v>67.5</v>
      </c>
      <c r="F19" s="118">
        <f t="shared" si="8"/>
        <v>67.5</v>
      </c>
      <c r="G19" s="54"/>
      <c r="H19" s="54"/>
      <c r="I19" s="54"/>
    </row>
    <row r="20">
      <c r="A20" s="76"/>
      <c r="B20" s="54"/>
      <c r="C20" s="54"/>
      <c r="D20" s="54"/>
      <c r="E20" s="54"/>
      <c r="F20" s="54"/>
      <c r="G20" s="54"/>
      <c r="H20" s="54"/>
      <c r="I20" s="54"/>
    </row>
    <row r="21">
      <c r="A21" s="76"/>
      <c r="B21" s="54"/>
      <c r="C21" s="54">
        <f>DIVIDE(C13, SUM(C13, D13, E13, F13))</f>
        <v>0.675</v>
      </c>
      <c r="D21" s="54">
        <f>DIVIDE(D13, SUM(C13, D13, E13, F13))</f>
        <v>0.21</v>
      </c>
      <c r="E21" s="54">
        <f>DIVIDE(E13, SUM(C13, D13, E13, F13))</f>
        <v>0.08</v>
      </c>
      <c r="F21" s="54">
        <f>DIVIDE(F13, SUM(C13, D13, E13, F13))</f>
        <v>0.035</v>
      </c>
      <c r="G21" s="54"/>
      <c r="H21" s="54"/>
      <c r="I21" s="54"/>
    </row>
    <row r="22">
      <c r="A22" s="76"/>
      <c r="B22" s="54"/>
      <c r="C22" s="54"/>
      <c r="D22" s="54"/>
      <c r="E22" s="54"/>
      <c r="F22" s="54"/>
      <c r="G22" s="54"/>
      <c r="H22" s="54"/>
      <c r="I22" s="54"/>
    </row>
    <row r="23">
      <c r="A23" s="76"/>
      <c r="B23" s="54"/>
      <c r="C23" s="54"/>
      <c r="D23" s="54"/>
      <c r="E23" s="54"/>
      <c r="F23" s="54"/>
      <c r="G23" s="54"/>
      <c r="H23" s="54"/>
      <c r="I23" s="54"/>
    </row>
    <row r="24">
      <c r="A24" s="76"/>
      <c r="B24" s="54"/>
      <c r="C24" s="54"/>
      <c r="D24" s="54"/>
      <c r="E24" s="54"/>
      <c r="F24" s="54"/>
      <c r="G24" s="54"/>
      <c r="H24" s="54"/>
      <c r="I24" s="54"/>
    </row>
    <row r="25">
      <c r="A25" s="76"/>
      <c r="B25" s="54"/>
      <c r="C25" s="54"/>
      <c r="D25" s="54"/>
      <c r="E25" s="54"/>
      <c r="F25" s="54"/>
      <c r="G25" s="54"/>
      <c r="H25" s="54"/>
      <c r="I25" s="54"/>
    </row>
    <row r="26">
      <c r="A26" s="76"/>
      <c r="B26" s="54"/>
      <c r="C26" s="54"/>
      <c r="D26" s="54"/>
      <c r="E26" s="54"/>
      <c r="F26" s="54"/>
      <c r="G26" s="54"/>
      <c r="H26" s="54"/>
      <c r="I26" s="54"/>
    </row>
    <row r="27">
      <c r="A27" s="76"/>
      <c r="B27" s="54"/>
      <c r="C27" s="54"/>
      <c r="D27" s="54"/>
      <c r="E27" s="54"/>
      <c r="F27" s="54"/>
      <c r="G27" s="54"/>
      <c r="H27" s="54"/>
      <c r="I27" s="54"/>
    </row>
    <row r="28">
      <c r="A28" s="76"/>
      <c r="B28" s="54"/>
      <c r="C28" s="54"/>
      <c r="D28" s="54"/>
      <c r="E28" s="54"/>
      <c r="F28" s="54"/>
      <c r="G28" s="54"/>
      <c r="H28" s="54"/>
      <c r="I28" s="54"/>
    </row>
    <row r="29">
      <c r="A29" s="76"/>
      <c r="B29" s="54"/>
      <c r="C29" s="54"/>
      <c r="D29" s="54"/>
      <c r="E29" s="54"/>
      <c r="F29" s="54"/>
      <c r="G29" s="54"/>
      <c r="H29" s="54"/>
      <c r="I29" s="54"/>
    </row>
    <row r="30">
      <c r="A30" s="76"/>
      <c r="B30" s="54"/>
      <c r="C30" s="54"/>
      <c r="D30" s="54"/>
      <c r="E30" s="54"/>
      <c r="F30" s="54"/>
      <c r="G30" s="54"/>
      <c r="H30" s="54"/>
      <c r="I30" s="54"/>
    </row>
    <row r="31">
      <c r="A31" s="76"/>
      <c r="B31" s="54"/>
      <c r="C31" s="54"/>
      <c r="D31" s="54"/>
      <c r="E31" s="54"/>
      <c r="F31" s="54"/>
      <c r="G31" s="54"/>
      <c r="H31" s="54"/>
      <c r="I31" s="54"/>
    </row>
    <row r="32">
      <c r="A32" s="76"/>
      <c r="B32" s="54"/>
      <c r="C32" s="54"/>
      <c r="D32" s="54"/>
      <c r="E32" s="54"/>
      <c r="F32" s="54"/>
      <c r="G32" s="54"/>
      <c r="H32" s="54"/>
      <c r="I32" s="54"/>
    </row>
    <row r="33">
      <c r="A33" s="76"/>
      <c r="B33" s="54"/>
      <c r="C33" s="54"/>
      <c r="D33" s="54"/>
      <c r="E33" s="54"/>
      <c r="F33" s="54"/>
      <c r="G33" s="54"/>
      <c r="H33" s="54"/>
      <c r="I33" s="54"/>
    </row>
    <row r="34">
      <c r="A34" s="76"/>
      <c r="B34" s="54"/>
      <c r="C34" s="54"/>
      <c r="D34" s="54"/>
      <c r="E34" s="54"/>
      <c r="F34" s="54"/>
      <c r="G34" s="54"/>
      <c r="H34" s="54"/>
      <c r="I34" s="54"/>
    </row>
    <row r="35">
      <c r="A35" s="76"/>
      <c r="B35" s="54"/>
      <c r="C35" s="54"/>
      <c r="D35" s="54"/>
      <c r="E35" s="54"/>
      <c r="F35" s="54"/>
      <c r="G35" s="54"/>
      <c r="H35" s="54"/>
      <c r="I35" s="54"/>
    </row>
    <row r="36">
      <c r="A36" s="76"/>
      <c r="B36" s="54"/>
      <c r="C36" s="54"/>
      <c r="D36" s="54"/>
      <c r="E36" s="54"/>
      <c r="F36" s="54"/>
      <c r="G36" s="54"/>
      <c r="H36" s="54"/>
      <c r="I36" s="54"/>
    </row>
    <row r="37">
      <c r="A37" s="76"/>
      <c r="B37" s="54"/>
      <c r="C37" s="54"/>
      <c r="D37" s="54"/>
      <c r="E37" s="54"/>
      <c r="F37" s="54"/>
      <c r="G37" s="54"/>
      <c r="H37" s="54"/>
      <c r="I37" s="54"/>
    </row>
    <row r="38">
      <c r="A38" s="76"/>
      <c r="B38" s="54"/>
      <c r="C38" s="54"/>
      <c r="D38" s="54"/>
      <c r="E38" s="54"/>
      <c r="F38" s="54"/>
      <c r="G38" s="54"/>
      <c r="H38" s="54"/>
      <c r="I38" s="54"/>
    </row>
    <row r="39">
      <c r="A39" s="76"/>
      <c r="B39" s="54"/>
      <c r="C39" s="54"/>
      <c r="D39" s="54"/>
      <c r="E39" s="54"/>
      <c r="F39" s="54"/>
      <c r="G39" s="54"/>
      <c r="H39" s="54"/>
      <c r="I39" s="54"/>
    </row>
    <row r="40">
      <c r="A40" s="76"/>
      <c r="B40" s="54"/>
      <c r="C40" s="54"/>
      <c r="D40" s="54"/>
      <c r="E40" s="54"/>
      <c r="F40" s="54"/>
      <c r="G40" s="54"/>
      <c r="H40" s="54"/>
      <c r="I40" s="54"/>
    </row>
    <row r="41">
      <c r="A41" s="76"/>
      <c r="B41" s="54"/>
      <c r="C41" s="54"/>
      <c r="D41" s="54"/>
      <c r="E41" s="54"/>
      <c r="F41" s="54"/>
      <c r="G41" s="54"/>
      <c r="H41" s="54"/>
      <c r="I41" s="54"/>
    </row>
    <row r="42">
      <c r="A42" s="76"/>
      <c r="B42" s="54"/>
      <c r="C42" s="54"/>
      <c r="D42" s="54"/>
      <c r="E42" s="54"/>
      <c r="F42" s="54"/>
      <c r="G42" s="54"/>
      <c r="H42" s="54"/>
      <c r="I42" s="54"/>
    </row>
    <row r="43">
      <c r="A43" s="76"/>
      <c r="B43" s="54"/>
      <c r="C43" s="54"/>
      <c r="D43" s="54"/>
      <c r="E43" s="54"/>
      <c r="F43" s="54"/>
      <c r="G43" s="54"/>
      <c r="H43" s="54"/>
      <c r="I43" s="54"/>
    </row>
    <row r="44">
      <c r="A44" s="76"/>
      <c r="B44" s="54"/>
      <c r="C44" s="54"/>
      <c r="D44" s="54"/>
      <c r="E44" s="54"/>
      <c r="F44" s="54"/>
      <c r="G44" s="54"/>
      <c r="H44" s="54"/>
      <c r="I44" s="54"/>
    </row>
    <row r="45">
      <c r="A45" s="76"/>
      <c r="B45" s="54"/>
      <c r="C45" s="54"/>
      <c r="D45" s="54"/>
      <c r="E45" s="54"/>
      <c r="F45" s="54"/>
      <c r="G45" s="54"/>
      <c r="H45" s="54"/>
      <c r="I45" s="54"/>
    </row>
    <row r="46">
      <c r="A46" s="76"/>
      <c r="B46" s="54"/>
      <c r="C46" s="54"/>
      <c r="D46" s="54"/>
      <c r="E46" s="54"/>
      <c r="F46" s="54"/>
      <c r="G46" s="54"/>
      <c r="H46" s="54"/>
      <c r="I46" s="54"/>
    </row>
    <row r="47">
      <c r="A47" s="76"/>
      <c r="B47" s="54"/>
      <c r="C47" s="54"/>
      <c r="D47" s="54"/>
      <c r="E47" s="54"/>
      <c r="F47" s="54"/>
      <c r="G47" s="54"/>
      <c r="H47" s="54"/>
      <c r="I47" s="54"/>
    </row>
    <row r="48">
      <c r="A48" s="76"/>
      <c r="B48" s="54"/>
      <c r="C48" s="54"/>
      <c r="D48" s="54"/>
      <c r="E48" s="54"/>
      <c r="F48" s="54"/>
      <c r="G48" s="54"/>
      <c r="H48" s="54"/>
      <c r="I48" s="54"/>
    </row>
    <row r="49">
      <c r="A49" s="76"/>
      <c r="B49" s="54"/>
      <c r="C49" s="54"/>
      <c r="D49" s="54"/>
      <c r="E49" s="54"/>
      <c r="F49" s="54"/>
      <c r="G49" s="54"/>
      <c r="H49" s="54"/>
      <c r="I49" s="54"/>
    </row>
    <row r="50">
      <c r="A50" s="76"/>
      <c r="B50" s="54"/>
      <c r="C50" s="54"/>
      <c r="D50" s="54"/>
      <c r="E50" s="54"/>
      <c r="F50" s="54"/>
      <c r="G50" s="54"/>
      <c r="H50" s="54"/>
      <c r="I50" s="54"/>
    </row>
    <row r="51">
      <c r="A51" s="76"/>
      <c r="B51" s="54"/>
      <c r="C51" s="54"/>
      <c r="D51" s="54"/>
      <c r="E51" s="54"/>
      <c r="F51" s="54"/>
      <c r="G51" s="54"/>
      <c r="H51" s="54"/>
      <c r="I51" s="54"/>
    </row>
    <row r="52">
      <c r="A52" s="76"/>
      <c r="B52" s="54"/>
      <c r="C52" s="54"/>
      <c r="D52" s="54"/>
      <c r="E52" s="54"/>
      <c r="F52" s="54"/>
      <c r="G52" s="54"/>
      <c r="H52" s="54"/>
      <c r="I52" s="54"/>
    </row>
    <row r="53">
      <c r="A53" s="76"/>
      <c r="B53" s="54"/>
      <c r="C53" s="54"/>
      <c r="D53" s="54"/>
      <c r="E53" s="54"/>
      <c r="F53" s="54"/>
      <c r="G53" s="54"/>
      <c r="H53" s="54"/>
      <c r="I53" s="54"/>
    </row>
    <row r="54">
      <c r="A54" s="76"/>
      <c r="B54" s="54"/>
      <c r="C54" s="54"/>
      <c r="D54" s="54"/>
      <c r="E54" s="54"/>
      <c r="F54" s="54"/>
      <c r="G54" s="54"/>
      <c r="H54" s="54"/>
      <c r="I54" s="54"/>
    </row>
    <row r="55">
      <c r="A55" s="76"/>
      <c r="B55" s="54"/>
      <c r="C55" s="54"/>
      <c r="D55" s="54"/>
      <c r="E55" s="54"/>
      <c r="F55" s="54"/>
      <c r="G55" s="54"/>
      <c r="H55" s="54"/>
      <c r="I55" s="54"/>
    </row>
    <row r="56">
      <c r="A56" s="76"/>
      <c r="B56" s="54"/>
      <c r="C56" s="54"/>
      <c r="D56" s="54"/>
      <c r="E56" s="54"/>
      <c r="F56" s="54"/>
      <c r="G56" s="54"/>
      <c r="H56" s="54"/>
      <c r="I56" s="54"/>
    </row>
    <row r="57">
      <c r="A57" s="76"/>
      <c r="B57" s="54"/>
      <c r="C57" s="54"/>
      <c r="D57" s="54"/>
      <c r="E57" s="54"/>
      <c r="F57" s="54"/>
      <c r="G57" s="54"/>
      <c r="H57" s="54"/>
      <c r="I57" s="54"/>
    </row>
    <row r="58">
      <c r="A58" s="76"/>
      <c r="B58" s="54"/>
      <c r="C58" s="54"/>
      <c r="D58" s="54"/>
      <c r="E58" s="54"/>
      <c r="F58" s="54"/>
      <c r="G58" s="54"/>
      <c r="H58" s="54"/>
      <c r="I58" s="54"/>
    </row>
    <row r="59">
      <c r="A59" s="76"/>
      <c r="B59" s="54"/>
      <c r="C59" s="54"/>
      <c r="D59" s="54"/>
      <c r="E59" s="54"/>
      <c r="F59" s="54"/>
      <c r="G59" s="54"/>
      <c r="H59" s="54"/>
      <c r="I59" s="54"/>
    </row>
    <row r="60">
      <c r="A60" s="76"/>
      <c r="B60" s="54"/>
      <c r="C60" s="54"/>
      <c r="D60" s="54"/>
      <c r="E60" s="54"/>
      <c r="F60" s="54"/>
      <c r="G60" s="54"/>
      <c r="H60" s="54"/>
      <c r="I60" s="54"/>
    </row>
    <row r="61">
      <c r="A61" s="76"/>
      <c r="B61" s="54"/>
      <c r="C61" s="54"/>
      <c r="D61" s="54"/>
      <c r="E61" s="54"/>
      <c r="F61" s="54"/>
      <c r="G61" s="54"/>
      <c r="H61" s="54"/>
      <c r="I61" s="54"/>
    </row>
    <row r="62">
      <c r="A62" s="76"/>
      <c r="B62" s="54"/>
      <c r="C62" s="54"/>
      <c r="D62" s="54"/>
      <c r="E62" s="54"/>
      <c r="F62" s="54"/>
      <c r="G62" s="54"/>
      <c r="H62" s="54"/>
      <c r="I62" s="54"/>
    </row>
    <row r="63">
      <c r="A63" s="76"/>
      <c r="B63" s="54"/>
      <c r="C63" s="54"/>
      <c r="D63" s="54"/>
      <c r="E63" s="54"/>
      <c r="F63" s="54"/>
      <c r="G63" s="54"/>
      <c r="H63" s="54"/>
      <c r="I63" s="54"/>
    </row>
    <row r="64">
      <c r="A64" s="76"/>
      <c r="B64" s="54"/>
      <c r="C64" s="54"/>
      <c r="D64" s="54"/>
      <c r="E64" s="54"/>
      <c r="F64" s="54"/>
      <c r="G64" s="54"/>
      <c r="H64" s="54"/>
      <c r="I64" s="54"/>
    </row>
    <row r="65">
      <c r="A65" s="76"/>
      <c r="B65" s="54"/>
      <c r="C65" s="54"/>
      <c r="D65" s="54"/>
      <c r="E65" s="54"/>
      <c r="F65" s="54"/>
      <c r="G65" s="54"/>
      <c r="H65" s="54"/>
      <c r="I65" s="54"/>
    </row>
    <row r="66">
      <c r="A66" s="76"/>
      <c r="B66" s="54"/>
      <c r="C66" s="54"/>
      <c r="D66" s="54"/>
      <c r="E66" s="54"/>
      <c r="F66" s="54"/>
      <c r="G66" s="54"/>
      <c r="H66" s="54"/>
      <c r="I66" s="54"/>
    </row>
    <row r="67">
      <c r="A67" s="76"/>
      <c r="B67" s="54"/>
      <c r="C67" s="54"/>
      <c r="D67" s="54"/>
      <c r="E67" s="54"/>
      <c r="F67" s="54"/>
      <c r="G67" s="54"/>
      <c r="H67" s="54"/>
      <c r="I67" s="54"/>
    </row>
    <row r="68">
      <c r="A68" s="76"/>
      <c r="B68" s="54"/>
      <c r="C68" s="54"/>
      <c r="D68" s="54"/>
      <c r="E68" s="54"/>
      <c r="F68" s="54"/>
      <c r="G68" s="54"/>
      <c r="H68" s="54"/>
      <c r="I68" s="54"/>
    </row>
    <row r="69">
      <c r="A69" s="76"/>
      <c r="B69" s="54"/>
      <c r="C69" s="54"/>
      <c r="D69" s="54"/>
      <c r="E69" s="54"/>
      <c r="F69" s="54"/>
      <c r="G69" s="54"/>
      <c r="H69" s="54"/>
      <c r="I69" s="54"/>
    </row>
    <row r="70">
      <c r="A70" s="76"/>
      <c r="B70" s="54"/>
      <c r="C70" s="54"/>
      <c r="D70" s="54"/>
      <c r="E70" s="54"/>
      <c r="F70" s="54"/>
      <c r="G70" s="54"/>
      <c r="H70" s="54"/>
      <c r="I70" s="54"/>
    </row>
    <row r="71">
      <c r="A71" s="76"/>
      <c r="B71" s="54"/>
      <c r="C71" s="54"/>
      <c r="D71" s="54"/>
      <c r="E71" s="54"/>
      <c r="F71" s="54"/>
      <c r="G71" s="54"/>
      <c r="H71" s="54"/>
      <c r="I71" s="54"/>
    </row>
    <row r="72">
      <c r="A72" s="76"/>
      <c r="B72" s="54"/>
      <c r="C72" s="54"/>
      <c r="D72" s="54"/>
      <c r="E72" s="54"/>
      <c r="F72" s="54"/>
      <c r="G72" s="54"/>
      <c r="H72" s="54"/>
      <c r="I72" s="54"/>
    </row>
    <row r="73">
      <c r="A73" s="76"/>
      <c r="B73" s="54"/>
      <c r="C73" s="54"/>
      <c r="D73" s="54"/>
      <c r="E73" s="54"/>
      <c r="F73" s="54"/>
      <c r="G73" s="54"/>
      <c r="H73" s="54"/>
      <c r="I73" s="54"/>
    </row>
    <row r="74">
      <c r="A74" s="76"/>
      <c r="B74" s="54"/>
      <c r="C74" s="54"/>
      <c r="D74" s="54"/>
      <c r="E74" s="54"/>
      <c r="F74" s="54"/>
      <c r="G74" s="54"/>
      <c r="H74" s="54"/>
      <c r="I74" s="54"/>
    </row>
    <row r="75">
      <c r="A75" s="76"/>
      <c r="B75" s="54"/>
      <c r="C75" s="54"/>
      <c r="D75" s="54"/>
      <c r="E75" s="54"/>
      <c r="F75" s="54"/>
      <c r="G75" s="54"/>
      <c r="H75" s="54"/>
      <c r="I75" s="54"/>
    </row>
    <row r="76">
      <c r="A76" s="76"/>
      <c r="B76" s="54"/>
      <c r="C76" s="54"/>
      <c r="D76" s="54"/>
      <c r="E76" s="54"/>
      <c r="F76" s="54"/>
      <c r="G76" s="54"/>
      <c r="H76" s="54"/>
      <c r="I76" s="54"/>
    </row>
    <row r="77">
      <c r="A77" s="76"/>
      <c r="B77" s="54"/>
      <c r="C77" s="54"/>
      <c r="D77" s="54"/>
      <c r="E77" s="54"/>
      <c r="F77" s="54"/>
      <c r="G77" s="54"/>
      <c r="H77" s="54"/>
      <c r="I77" s="54"/>
    </row>
    <row r="78">
      <c r="A78" s="76"/>
      <c r="B78" s="54"/>
      <c r="C78" s="54"/>
      <c r="D78" s="54"/>
      <c r="E78" s="54"/>
      <c r="F78" s="54"/>
      <c r="G78" s="54"/>
      <c r="H78" s="54"/>
      <c r="I78" s="54"/>
    </row>
    <row r="79">
      <c r="A79" s="76"/>
      <c r="B79" s="54"/>
      <c r="C79" s="54"/>
      <c r="D79" s="54"/>
      <c r="E79" s="54"/>
      <c r="F79" s="54"/>
      <c r="G79" s="54"/>
      <c r="H79" s="54"/>
      <c r="I79" s="54"/>
    </row>
    <row r="80">
      <c r="A80" s="76"/>
      <c r="B80" s="54"/>
      <c r="C80" s="54"/>
      <c r="D80" s="54"/>
      <c r="E80" s="54"/>
      <c r="F80" s="54"/>
      <c r="G80" s="54"/>
      <c r="H80" s="54"/>
      <c r="I80" s="54"/>
    </row>
    <row r="81">
      <c r="A81" s="76"/>
      <c r="B81" s="54"/>
      <c r="C81" s="54"/>
      <c r="D81" s="54"/>
      <c r="E81" s="54"/>
      <c r="F81" s="54"/>
      <c r="G81" s="54"/>
      <c r="H81" s="54"/>
      <c r="I81" s="54"/>
    </row>
    <row r="82">
      <c r="A82" s="76"/>
      <c r="B82" s="54"/>
      <c r="C82" s="54"/>
      <c r="D82" s="54"/>
      <c r="E82" s="54"/>
      <c r="F82" s="54"/>
      <c r="G82" s="54"/>
      <c r="H82" s="54"/>
      <c r="I82" s="54"/>
    </row>
    <row r="83">
      <c r="A83" s="76"/>
      <c r="B83" s="54"/>
      <c r="C83" s="54"/>
      <c r="D83" s="54"/>
      <c r="E83" s="54"/>
      <c r="F83" s="54"/>
      <c r="G83" s="54"/>
      <c r="H83" s="54"/>
      <c r="I83" s="54"/>
    </row>
    <row r="84">
      <c r="A84" s="76"/>
      <c r="B84" s="54"/>
      <c r="C84" s="54"/>
      <c r="D84" s="54"/>
      <c r="E84" s="54"/>
      <c r="F84" s="54"/>
      <c r="G84" s="54"/>
      <c r="H84" s="54"/>
      <c r="I84" s="54"/>
    </row>
    <row r="85">
      <c r="A85" s="76"/>
      <c r="B85" s="54"/>
      <c r="C85" s="54"/>
      <c r="D85" s="54"/>
      <c r="E85" s="54"/>
      <c r="F85" s="54"/>
      <c r="G85" s="54"/>
      <c r="H85" s="54"/>
      <c r="I85" s="54"/>
    </row>
    <row r="86">
      <c r="A86" s="76"/>
      <c r="B86" s="54"/>
      <c r="C86" s="54"/>
      <c r="D86" s="54"/>
      <c r="E86" s="54"/>
      <c r="F86" s="54"/>
      <c r="G86" s="54"/>
      <c r="H86" s="54"/>
      <c r="I86" s="54"/>
    </row>
    <row r="87">
      <c r="A87" s="76"/>
      <c r="B87" s="54"/>
      <c r="C87" s="54"/>
      <c r="D87" s="54"/>
      <c r="E87" s="54"/>
      <c r="F87" s="54"/>
      <c r="G87" s="54"/>
      <c r="H87" s="54"/>
      <c r="I87" s="54"/>
    </row>
    <row r="88">
      <c r="A88" s="76"/>
      <c r="B88" s="54"/>
      <c r="C88" s="54"/>
      <c r="D88" s="54"/>
      <c r="E88" s="54"/>
      <c r="F88" s="54"/>
      <c r="G88" s="54"/>
      <c r="H88" s="54"/>
      <c r="I88" s="54"/>
    </row>
    <row r="89">
      <c r="A89" s="76"/>
      <c r="B89" s="54"/>
      <c r="C89" s="54"/>
      <c r="D89" s="54"/>
      <c r="E89" s="54"/>
      <c r="F89" s="54"/>
      <c r="G89" s="54"/>
      <c r="H89" s="54"/>
      <c r="I89" s="54"/>
    </row>
    <row r="90">
      <c r="A90" s="76"/>
      <c r="B90" s="54"/>
      <c r="C90" s="54"/>
      <c r="D90" s="54"/>
      <c r="E90" s="54"/>
      <c r="F90" s="54"/>
      <c r="G90" s="54"/>
      <c r="H90" s="54"/>
      <c r="I90" s="54"/>
    </row>
    <row r="91">
      <c r="A91" s="76"/>
      <c r="B91" s="54"/>
      <c r="C91" s="54"/>
      <c r="D91" s="54"/>
      <c r="E91" s="54"/>
      <c r="F91" s="54"/>
      <c r="G91" s="54"/>
      <c r="H91" s="54"/>
      <c r="I91" s="54"/>
    </row>
    <row r="92">
      <c r="A92" s="76"/>
      <c r="B92" s="54"/>
      <c r="C92" s="54"/>
      <c r="D92" s="54"/>
      <c r="E92" s="54"/>
      <c r="F92" s="54"/>
      <c r="G92" s="54"/>
      <c r="H92" s="54"/>
      <c r="I92" s="54"/>
    </row>
    <row r="93">
      <c r="A93" s="76"/>
      <c r="B93" s="54"/>
      <c r="C93" s="54"/>
      <c r="D93" s="54"/>
      <c r="E93" s="54"/>
      <c r="F93" s="54"/>
      <c r="G93" s="54"/>
      <c r="H93" s="54"/>
      <c r="I93" s="54"/>
    </row>
    <row r="94">
      <c r="A94" s="76"/>
      <c r="B94" s="54"/>
      <c r="C94" s="54"/>
      <c r="D94" s="54"/>
      <c r="E94" s="54"/>
      <c r="F94" s="54"/>
      <c r="G94" s="54"/>
      <c r="H94" s="54"/>
      <c r="I94" s="54"/>
    </row>
    <row r="95">
      <c r="A95" s="76"/>
      <c r="B95" s="54"/>
      <c r="C95" s="54"/>
      <c r="D95" s="54"/>
      <c r="E95" s="54"/>
      <c r="F95" s="54"/>
      <c r="G95" s="54"/>
      <c r="H95" s="54"/>
      <c r="I95" s="54"/>
    </row>
    <row r="96">
      <c r="A96" s="76"/>
      <c r="B96" s="54"/>
      <c r="C96" s="54"/>
      <c r="D96" s="54"/>
      <c r="E96" s="54"/>
      <c r="F96" s="54"/>
      <c r="G96" s="54"/>
      <c r="H96" s="54"/>
      <c r="I96" s="54"/>
    </row>
    <row r="97">
      <c r="A97" s="76"/>
      <c r="B97" s="54"/>
      <c r="C97" s="54"/>
      <c r="D97" s="54"/>
      <c r="E97" s="54"/>
      <c r="F97" s="54"/>
      <c r="G97" s="54"/>
      <c r="H97" s="54"/>
      <c r="I97" s="54"/>
    </row>
    <row r="98">
      <c r="A98" s="76"/>
      <c r="B98" s="54"/>
      <c r="C98" s="54"/>
      <c r="D98" s="54"/>
      <c r="E98" s="54"/>
      <c r="F98" s="54"/>
      <c r="G98" s="54"/>
      <c r="H98" s="54"/>
      <c r="I98" s="54"/>
    </row>
    <row r="99">
      <c r="A99" s="76"/>
      <c r="B99" s="54"/>
      <c r="C99" s="54"/>
      <c r="D99" s="54"/>
      <c r="E99" s="54"/>
      <c r="F99" s="54"/>
      <c r="G99" s="54"/>
      <c r="H99" s="54"/>
      <c r="I99" s="54"/>
    </row>
    <row r="100">
      <c r="A100" s="76"/>
      <c r="B100" s="54"/>
      <c r="C100" s="54"/>
      <c r="D100" s="54"/>
      <c r="E100" s="54"/>
      <c r="F100" s="54"/>
      <c r="G100" s="54"/>
      <c r="H100" s="54"/>
      <c r="I100" s="54"/>
    </row>
    <row r="101">
      <c r="A101" s="76"/>
      <c r="B101" s="54"/>
      <c r="C101" s="54"/>
      <c r="D101" s="54"/>
      <c r="E101" s="54"/>
      <c r="F101" s="54"/>
      <c r="G101" s="54"/>
      <c r="H101" s="54"/>
      <c r="I101" s="54"/>
    </row>
    <row r="102">
      <c r="A102" s="76"/>
      <c r="B102" s="54"/>
      <c r="C102" s="54"/>
      <c r="D102" s="54"/>
      <c r="E102" s="54"/>
      <c r="F102" s="54"/>
      <c r="G102" s="54"/>
      <c r="H102" s="54"/>
      <c r="I102" s="54"/>
    </row>
    <row r="103">
      <c r="A103" s="76"/>
      <c r="B103" s="54"/>
      <c r="C103" s="54"/>
      <c r="D103" s="54"/>
      <c r="E103" s="54"/>
      <c r="F103" s="54"/>
      <c r="G103" s="54"/>
      <c r="H103" s="54"/>
      <c r="I103" s="54"/>
    </row>
    <row r="104">
      <c r="A104" s="76"/>
      <c r="B104" s="54"/>
      <c r="C104" s="54"/>
      <c r="D104" s="54"/>
      <c r="E104" s="54"/>
      <c r="F104" s="54"/>
      <c r="G104" s="54"/>
      <c r="H104" s="54"/>
      <c r="I104" s="54"/>
    </row>
    <row r="105">
      <c r="A105" s="76"/>
      <c r="B105" s="54"/>
      <c r="C105" s="54"/>
      <c r="D105" s="54"/>
      <c r="E105" s="54"/>
      <c r="F105" s="54"/>
      <c r="G105" s="54"/>
      <c r="H105" s="54"/>
      <c r="I105" s="54"/>
    </row>
    <row r="106">
      <c r="A106" s="76"/>
      <c r="B106" s="54"/>
      <c r="C106" s="54"/>
      <c r="D106" s="54"/>
      <c r="E106" s="54"/>
      <c r="F106" s="54"/>
      <c r="G106" s="54"/>
      <c r="H106" s="54"/>
      <c r="I106" s="54"/>
    </row>
    <row r="107">
      <c r="A107" s="76"/>
      <c r="B107" s="54"/>
      <c r="C107" s="54"/>
      <c r="D107" s="54"/>
      <c r="E107" s="54"/>
      <c r="F107" s="54"/>
      <c r="G107" s="54"/>
      <c r="H107" s="54"/>
      <c r="I107" s="54"/>
    </row>
    <row r="108">
      <c r="A108" s="76"/>
      <c r="B108" s="54"/>
      <c r="C108" s="54"/>
      <c r="D108" s="54"/>
      <c r="E108" s="54"/>
      <c r="F108" s="54"/>
      <c r="G108" s="54"/>
      <c r="H108" s="54"/>
      <c r="I108" s="54"/>
    </row>
    <row r="109">
      <c r="A109" s="76"/>
      <c r="B109" s="54"/>
      <c r="C109" s="54"/>
      <c r="D109" s="54"/>
      <c r="E109" s="54"/>
      <c r="F109" s="54"/>
      <c r="G109" s="54"/>
      <c r="H109" s="54"/>
      <c r="I109" s="54"/>
    </row>
    <row r="110">
      <c r="A110" s="76"/>
      <c r="B110" s="54"/>
      <c r="C110" s="54"/>
      <c r="D110" s="54"/>
      <c r="E110" s="54"/>
      <c r="F110" s="54"/>
      <c r="G110" s="54"/>
      <c r="H110" s="54"/>
      <c r="I110" s="54"/>
    </row>
    <row r="111">
      <c r="A111" s="76"/>
      <c r="B111" s="54"/>
      <c r="C111" s="54"/>
      <c r="D111" s="54"/>
      <c r="E111" s="54"/>
      <c r="F111" s="54"/>
      <c r="G111" s="54"/>
      <c r="H111" s="54"/>
      <c r="I111" s="54"/>
    </row>
    <row r="112">
      <c r="A112" s="76"/>
      <c r="B112" s="54"/>
      <c r="C112" s="54"/>
      <c r="D112" s="54"/>
      <c r="E112" s="54"/>
      <c r="F112" s="54"/>
      <c r="G112" s="54"/>
      <c r="H112" s="54"/>
      <c r="I112" s="54"/>
    </row>
    <row r="113">
      <c r="A113" s="76"/>
      <c r="B113" s="54"/>
      <c r="C113" s="54"/>
      <c r="D113" s="54"/>
      <c r="E113" s="54"/>
      <c r="F113" s="54"/>
      <c r="G113" s="54"/>
      <c r="H113" s="54"/>
      <c r="I113" s="54"/>
    </row>
    <row r="114">
      <c r="A114" s="76"/>
      <c r="B114" s="54"/>
      <c r="C114" s="54"/>
      <c r="D114" s="54"/>
      <c r="E114" s="54"/>
      <c r="F114" s="54"/>
      <c r="G114" s="54"/>
      <c r="H114" s="54"/>
      <c r="I114" s="54"/>
    </row>
    <row r="115">
      <c r="A115" s="76"/>
      <c r="B115" s="54"/>
      <c r="C115" s="54"/>
      <c r="D115" s="54"/>
      <c r="E115" s="54"/>
      <c r="F115" s="54"/>
      <c r="G115" s="54"/>
      <c r="H115" s="54"/>
      <c r="I115" s="54"/>
    </row>
    <row r="116">
      <c r="A116" s="76"/>
      <c r="B116" s="54"/>
      <c r="C116" s="54"/>
      <c r="D116" s="54"/>
      <c r="E116" s="54"/>
      <c r="F116" s="54"/>
      <c r="G116" s="54"/>
      <c r="H116" s="54"/>
      <c r="I116" s="54"/>
    </row>
    <row r="117">
      <c r="A117" s="76"/>
      <c r="B117" s="54"/>
      <c r="C117" s="54"/>
      <c r="D117" s="54"/>
      <c r="E117" s="54"/>
      <c r="F117" s="54"/>
      <c r="G117" s="54"/>
      <c r="H117" s="54"/>
      <c r="I117" s="54"/>
    </row>
    <row r="118">
      <c r="A118" s="76"/>
      <c r="B118" s="54"/>
      <c r="C118" s="54"/>
      <c r="D118" s="54"/>
      <c r="E118" s="54"/>
      <c r="F118" s="54"/>
      <c r="G118" s="54"/>
      <c r="H118" s="54"/>
      <c r="I118" s="54"/>
    </row>
    <row r="119">
      <c r="A119" s="76"/>
      <c r="B119" s="54"/>
      <c r="C119" s="54"/>
      <c r="D119" s="54"/>
      <c r="E119" s="54"/>
      <c r="F119" s="54"/>
      <c r="G119" s="54"/>
      <c r="H119" s="54"/>
      <c r="I119" s="54"/>
    </row>
    <row r="120">
      <c r="A120" s="76"/>
      <c r="B120" s="54"/>
      <c r="C120" s="54"/>
      <c r="D120" s="54"/>
      <c r="E120" s="54"/>
      <c r="F120" s="54"/>
      <c r="G120" s="54"/>
      <c r="H120" s="54"/>
      <c r="I120" s="54"/>
    </row>
    <row r="121">
      <c r="A121" s="76"/>
      <c r="B121" s="54"/>
      <c r="C121" s="54"/>
      <c r="D121" s="54"/>
      <c r="E121" s="54"/>
      <c r="F121" s="54"/>
      <c r="G121" s="54"/>
      <c r="H121" s="54"/>
      <c r="I121" s="54"/>
    </row>
    <row r="122">
      <c r="A122" s="76"/>
      <c r="B122" s="54"/>
      <c r="C122" s="54"/>
      <c r="D122" s="54"/>
      <c r="E122" s="54"/>
      <c r="F122" s="54"/>
      <c r="G122" s="54"/>
      <c r="H122" s="54"/>
      <c r="I122" s="54"/>
    </row>
    <row r="123">
      <c r="A123" s="76"/>
      <c r="B123" s="54"/>
      <c r="C123" s="54"/>
      <c r="D123" s="54"/>
      <c r="E123" s="54"/>
      <c r="F123" s="54"/>
      <c r="G123" s="54"/>
      <c r="H123" s="54"/>
      <c r="I123" s="54"/>
    </row>
    <row r="124">
      <c r="A124" s="76"/>
      <c r="B124" s="54"/>
      <c r="C124" s="54"/>
      <c r="D124" s="54"/>
      <c r="E124" s="54"/>
      <c r="F124" s="54"/>
      <c r="G124" s="54"/>
      <c r="H124" s="54"/>
      <c r="I124" s="54"/>
    </row>
    <row r="125">
      <c r="A125" s="76"/>
      <c r="B125" s="54"/>
      <c r="C125" s="54"/>
      <c r="D125" s="54"/>
      <c r="E125" s="54"/>
      <c r="F125" s="54"/>
      <c r="G125" s="54"/>
      <c r="H125" s="54"/>
      <c r="I125" s="54"/>
    </row>
    <row r="126">
      <c r="A126" s="76"/>
      <c r="B126" s="54"/>
      <c r="C126" s="54"/>
      <c r="D126" s="54"/>
      <c r="E126" s="54"/>
      <c r="F126" s="54"/>
      <c r="G126" s="54"/>
      <c r="H126" s="54"/>
      <c r="I126" s="54"/>
    </row>
    <row r="127">
      <c r="A127" s="76"/>
      <c r="B127" s="54"/>
      <c r="C127" s="54"/>
      <c r="D127" s="54"/>
      <c r="E127" s="54"/>
      <c r="F127" s="54"/>
      <c r="G127" s="54"/>
      <c r="H127" s="54"/>
      <c r="I127" s="54"/>
    </row>
    <row r="128">
      <c r="A128" s="76"/>
      <c r="B128" s="54"/>
      <c r="C128" s="54"/>
      <c r="D128" s="54"/>
      <c r="E128" s="54"/>
      <c r="F128" s="54"/>
      <c r="G128" s="54"/>
      <c r="H128" s="54"/>
      <c r="I128" s="54"/>
    </row>
    <row r="129">
      <c r="A129" s="76"/>
      <c r="B129" s="54"/>
      <c r="C129" s="54"/>
      <c r="D129" s="54"/>
      <c r="E129" s="54"/>
      <c r="F129" s="54"/>
      <c r="G129" s="54"/>
      <c r="H129" s="54"/>
      <c r="I129" s="54"/>
    </row>
    <row r="130">
      <c r="A130" s="76"/>
      <c r="B130" s="54"/>
      <c r="C130" s="54"/>
      <c r="D130" s="54"/>
      <c r="E130" s="54"/>
      <c r="F130" s="54"/>
      <c r="G130" s="54"/>
      <c r="H130" s="54"/>
      <c r="I130" s="54"/>
    </row>
    <row r="131">
      <c r="A131" s="76"/>
      <c r="B131" s="54"/>
      <c r="C131" s="54"/>
      <c r="D131" s="54"/>
      <c r="E131" s="54"/>
      <c r="F131" s="54"/>
      <c r="G131" s="54"/>
      <c r="H131" s="54"/>
      <c r="I131" s="54"/>
    </row>
    <row r="132">
      <c r="A132" s="76"/>
      <c r="B132" s="54"/>
      <c r="C132" s="54"/>
      <c r="D132" s="54"/>
      <c r="E132" s="54"/>
      <c r="F132" s="54"/>
      <c r="G132" s="54"/>
      <c r="H132" s="54"/>
      <c r="I132" s="54"/>
    </row>
    <row r="133">
      <c r="A133" s="76"/>
      <c r="B133" s="54"/>
      <c r="C133" s="54"/>
      <c r="D133" s="54"/>
      <c r="E133" s="54"/>
      <c r="F133" s="54"/>
      <c r="G133" s="54"/>
      <c r="H133" s="54"/>
      <c r="I133" s="54"/>
    </row>
    <row r="134">
      <c r="A134" s="76"/>
      <c r="B134" s="54"/>
      <c r="C134" s="54"/>
      <c r="D134" s="54"/>
      <c r="E134" s="54"/>
      <c r="F134" s="54"/>
      <c r="G134" s="54"/>
      <c r="H134" s="54"/>
      <c r="I134" s="54"/>
    </row>
    <row r="135">
      <c r="A135" s="76"/>
      <c r="B135" s="54"/>
      <c r="C135" s="54"/>
      <c r="D135" s="54"/>
      <c r="E135" s="54"/>
      <c r="F135" s="54"/>
      <c r="G135" s="54"/>
      <c r="H135" s="54"/>
      <c r="I135" s="54"/>
    </row>
    <row r="136">
      <c r="A136" s="76"/>
      <c r="B136" s="54"/>
      <c r="C136" s="54"/>
      <c r="D136" s="54"/>
      <c r="E136" s="54"/>
      <c r="F136" s="54"/>
      <c r="G136" s="54"/>
      <c r="H136" s="54"/>
      <c r="I136" s="54"/>
    </row>
    <row r="137">
      <c r="A137" s="76"/>
      <c r="B137" s="54"/>
      <c r="C137" s="54"/>
      <c r="D137" s="54"/>
      <c r="E137" s="54"/>
      <c r="F137" s="54"/>
      <c r="G137" s="54"/>
      <c r="H137" s="54"/>
      <c r="I137" s="54"/>
    </row>
    <row r="138">
      <c r="A138" s="76"/>
      <c r="B138" s="54"/>
      <c r="C138" s="54"/>
      <c r="D138" s="54"/>
      <c r="E138" s="54"/>
      <c r="F138" s="54"/>
      <c r="G138" s="54"/>
      <c r="H138" s="54"/>
      <c r="I138" s="54"/>
    </row>
    <row r="139">
      <c r="A139" s="76"/>
      <c r="B139" s="54"/>
      <c r="C139" s="54"/>
      <c r="D139" s="54"/>
      <c r="E139" s="54"/>
      <c r="F139" s="54"/>
      <c r="G139" s="54"/>
      <c r="H139" s="54"/>
      <c r="I139" s="54"/>
    </row>
    <row r="140">
      <c r="A140" s="76"/>
      <c r="B140" s="54"/>
      <c r="C140" s="54"/>
      <c r="D140" s="54"/>
      <c r="E140" s="54"/>
      <c r="F140" s="54"/>
      <c r="G140" s="54"/>
      <c r="H140" s="54"/>
      <c r="I140" s="54"/>
    </row>
    <row r="141">
      <c r="A141" s="76"/>
      <c r="B141" s="54"/>
      <c r="C141" s="54"/>
      <c r="D141" s="54"/>
      <c r="E141" s="54"/>
      <c r="F141" s="54"/>
      <c r="G141" s="54"/>
      <c r="H141" s="54"/>
      <c r="I141" s="54"/>
    </row>
    <row r="142">
      <c r="A142" s="76"/>
      <c r="B142" s="54"/>
      <c r="C142" s="54"/>
      <c r="D142" s="54"/>
      <c r="E142" s="54"/>
      <c r="F142" s="54"/>
      <c r="G142" s="54"/>
      <c r="H142" s="54"/>
      <c r="I142" s="54"/>
    </row>
    <row r="143">
      <c r="A143" s="76"/>
      <c r="B143" s="54"/>
      <c r="C143" s="54"/>
      <c r="D143" s="54"/>
      <c r="E143" s="54"/>
      <c r="F143" s="54"/>
      <c r="G143" s="54"/>
      <c r="H143" s="54"/>
      <c r="I143" s="54"/>
    </row>
    <row r="144">
      <c r="A144" s="76"/>
      <c r="B144" s="54"/>
      <c r="C144" s="54"/>
      <c r="D144" s="54"/>
      <c r="E144" s="54"/>
      <c r="F144" s="54"/>
      <c r="G144" s="54"/>
      <c r="H144" s="54"/>
      <c r="I144" s="54"/>
    </row>
    <row r="145">
      <c r="A145" s="76"/>
      <c r="B145" s="54"/>
      <c r="C145" s="54"/>
      <c r="D145" s="54"/>
      <c r="E145" s="54"/>
      <c r="F145" s="54"/>
      <c r="G145" s="54"/>
      <c r="H145" s="54"/>
      <c r="I145" s="54"/>
    </row>
    <row r="146">
      <c r="A146" s="76"/>
      <c r="B146" s="54"/>
      <c r="C146" s="54"/>
      <c r="D146" s="54"/>
      <c r="E146" s="54"/>
      <c r="F146" s="54"/>
      <c r="G146" s="54"/>
      <c r="H146" s="54"/>
      <c r="I146" s="54"/>
    </row>
    <row r="147">
      <c r="A147" s="76"/>
      <c r="B147" s="54"/>
      <c r="C147" s="54"/>
      <c r="D147" s="54"/>
      <c r="E147" s="54"/>
      <c r="F147" s="54"/>
      <c r="G147" s="54"/>
      <c r="H147" s="54"/>
      <c r="I147" s="54"/>
    </row>
    <row r="148">
      <c r="A148" s="76"/>
      <c r="B148" s="54"/>
      <c r="C148" s="54"/>
      <c r="D148" s="54"/>
      <c r="E148" s="54"/>
      <c r="F148" s="54"/>
      <c r="G148" s="54"/>
      <c r="H148" s="54"/>
      <c r="I148" s="54"/>
    </row>
    <row r="149">
      <c r="A149" s="76"/>
      <c r="B149" s="54"/>
      <c r="C149" s="54"/>
      <c r="D149" s="54"/>
      <c r="E149" s="54"/>
      <c r="F149" s="54"/>
      <c r="G149" s="54"/>
      <c r="H149" s="54"/>
      <c r="I149" s="54"/>
    </row>
    <row r="150">
      <c r="A150" s="76"/>
      <c r="B150" s="54"/>
      <c r="C150" s="54"/>
      <c r="D150" s="54"/>
      <c r="E150" s="54"/>
      <c r="F150" s="54"/>
      <c r="G150" s="54"/>
      <c r="H150" s="54"/>
      <c r="I150" s="54"/>
    </row>
    <row r="151">
      <c r="A151" s="76"/>
      <c r="B151" s="54"/>
      <c r="C151" s="54"/>
      <c r="D151" s="54"/>
      <c r="E151" s="54"/>
      <c r="F151" s="54"/>
      <c r="G151" s="54"/>
      <c r="H151" s="54"/>
      <c r="I151" s="54"/>
    </row>
    <row r="152">
      <c r="A152" s="76"/>
      <c r="B152" s="54"/>
      <c r="C152" s="54"/>
      <c r="D152" s="54"/>
      <c r="E152" s="54"/>
      <c r="F152" s="54"/>
      <c r="G152" s="54"/>
      <c r="H152" s="54"/>
      <c r="I152" s="54"/>
    </row>
    <row r="153">
      <c r="A153" s="76"/>
      <c r="B153" s="54"/>
      <c r="C153" s="54"/>
      <c r="D153" s="54"/>
      <c r="E153" s="54"/>
      <c r="F153" s="54"/>
      <c r="G153" s="54"/>
      <c r="H153" s="54"/>
      <c r="I153" s="54"/>
    </row>
    <row r="154">
      <c r="A154" s="76"/>
      <c r="B154" s="54"/>
      <c r="C154" s="54"/>
      <c r="D154" s="54"/>
      <c r="E154" s="54"/>
      <c r="F154" s="54"/>
      <c r="G154" s="54"/>
      <c r="H154" s="54"/>
      <c r="I154" s="54"/>
    </row>
    <row r="155">
      <c r="A155" s="76"/>
      <c r="B155" s="54"/>
      <c r="C155" s="54"/>
      <c r="D155" s="54"/>
      <c r="E155" s="54"/>
      <c r="F155" s="54"/>
      <c r="G155" s="54"/>
      <c r="H155" s="54"/>
      <c r="I155" s="54"/>
    </row>
    <row r="156">
      <c r="A156" s="76"/>
      <c r="B156" s="54"/>
      <c r="C156" s="54"/>
      <c r="D156" s="54"/>
      <c r="E156" s="54"/>
      <c r="F156" s="54"/>
      <c r="G156" s="54"/>
      <c r="H156" s="54"/>
      <c r="I156" s="54"/>
    </row>
    <row r="157">
      <c r="A157" s="76"/>
      <c r="B157" s="54"/>
      <c r="C157" s="54"/>
      <c r="D157" s="54"/>
      <c r="E157" s="54"/>
      <c r="F157" s="54"/>
      <c r="G157" s="54"/>
      <c r="H157" s="54"/>
      <c r="I157" s="54"/>
    </row>
    <row r="158">
      <c r="A158" s="76"/>
      <c r="B158" s="54"/>
      <c r="C158" s="54"/>
      <c r="D158" s="54"/>
      <c r="E158" s="54"/>
      <c r="F158" s="54"/>
      <c r="G158" s="54"/>
      <c r="H158" s="54"/>
      <c r="I158" s="54"/>
    </row>
    <row r="159">
      <c r="A159" s="76"/>
      <c r="B159" s="54"/>
      <c r="C159" s="54"/>
      <c r="D159" s="54"/>
      <c r="E159" s="54"/>
      <c r="F159" s="54"/>
      <c r="G159" s="54"/>
      <c r="H159" s="54"/>
      <c r="I159" s="54"/>
    </row>
    <row r="160">
      <c r="A160" s="76"/>
      <c r="B160" s="54"/>
      <c r="C160" s="54"/>
      <c r="D160" s="54"/>
      <c r="E160" s="54"/>
      <c r="F160" s="54"/>
      <c r="G160" s="54"/>
      <c r="H160" s="54"/>
      <c r="I160" s="54"/>
    </row>
    <row r="161">
      <c r="A161" s="76"/>
      <c r="B161" s="54"/>
      <c r="C161" s="54"/>
      <c r="D161" s="54"/>
      <c r="E161" s="54"/>
      <c r="F161" s="54"/>
      <c r="G161" s="54"/>
      <c r="H161" s="54"/>
      <c r="I161" s="54"/>
    </row>
    <row r="162">
      <c r="A162" s="76"/>
      <c r="B162" s="54"/>
      <c r="C162" s="54"/>
      <c r="D162" s="54"/>
      <c r="E162" s="54"/>
      <c r="F162" s="54"/>
      <c r="G162" s="54"/>
      <c r="H162" s="54"/>
      <c r="I162" s="54"/>
    </row>
    <row r="163">
      <c r="A163" s="76"/>
      <c r="B163" s="54"/>
      <c r="C163" s="54"/>
      <c r="D163" s="54"/>
      <c r="E163" s="54"/>
      <c r="F163" s="54"/>
      <c r="G163" s="54"/>
      <c r="H163" s="54"/>
      <c r="I163" s="54"/>
    </row>
    <row r="164">
      <c r="A164" s="76"/>
      <c r="B164" s="54"/>
      <c r="C164" s="54"/>
      <c r="D164" s="54"/>
      <c r="E164" s="54"/>
      <c r="F164" s="54"/>
      <c r="G164" s="54"/>
      <c r="H164" s="54"/>
      <c r="I164" s="54"/>
    </row>
    <row r="165">
      <c r="A165" s="76"/>
      <c r="B165" s="54"/>
      <c r="C165" s="54"/>
      <c r="D165" s="54"/>
      <c r="E165" s="54"/>
      <c r="F165" s="54"/>
      <c r="G165" s="54"/>
      <c r="H165" s="54"/>
      <c r="I165" s="54"/>
    </row>
    <row r="166">
      <c r="A166" s="76"/>
      <c r="B166" s="54"/>
      <c r="C166" s="54"/>
      <c r="D166" s="54"/>
      <c r="E166" s="54"/>
      <c r="F166" s="54"/>
      <c r="G166" s="54"/>
      <c r="H166" s="54"/>
      <c r="I166" s="54"/>
    </row>
    <row r="167">
      <c r="A167" s="76"/>
      <c r="B167" s="54"/>
      <c r="C167" s="54"/>
      <c r="D167" s="54"/>
      <c r="E167" s="54"/>
      <c r="F167" s="54"/>
      <c r="G167" s="54"/>
      <c r="H167" s="54"/>
      <c r="I167" s="54"/>
    </row>
    <row r="168">
      <c r="A168" s="76"/>
      <c r="B168" s="54"/>
      <c r="C168" s="54"/>
      <c r="D168" s="54"/>
      <c r="E168" s="54"/>
      <c r="F168" s="54"/>
      <c r="G168" s="54"/>
      <c r="H168" s="54"/>
      <c r="I168" s="54"/>
    </row>
    <row r="169">
      <c r="A169" s="76"/>
      <c r="B169" s="54"/>
      <c r="C169" s="54"/>
      <c r="D169" s="54"/>
      <c r="E169" s="54"/>
      <c r="F169" s="54"/>
      <c r="G169" s="54"/>
      <c r="H169" s="54"/>
      <c r="I169" s="54"/>
    </row>
    <row r="170">
      <c r="A170" s="76"/>
      <c r="B170" s="54"/>
      <c r="C170" s="54"/>
      <c r="D170" s="54"/>
      <c r="E170" s="54"/>
      <c r="F170" s="54"/>
      <c r="G170" s="54"/>
      <c r="H170" s="54"/>
      <c r="I170" s="54"/>
    </row>
    <row r="171">
      <c r="A171" s="76"/>
      <c r="B171" s="54"/>
      <c r="C171" s="54"/>
      <c r="D171" s="54"/>
      <c r="E171" s="54"/>
      <c r="F171" s="54"/>
      <c r="G171" s="54"/>
      <c r="H171" s="54"/>
      <c r="I171" s="54"/>
    </row>
    <row r="172">
      <c r="A172" s="76"/>
      <c r="B172" s="54"/>
      <c r="C172" s="54"/>
      <c r="D172" s="54"/>
      <c r="E172" s="54"/>
      <c r="F172" s="54"/>
      <c r="G172" s="54"/>
      <c r="H172" s="54"/>
      <c r="I172" s="54"/>
    </row>
    <row r="173">
      <c r="A173" s="76"/>
      <c r="B173" s="54"/>
      <c r="C173" s="54"/>
      <c r="D173" s="54"/>
      <c r="E173" s="54"/>
      <c r="F173" s="54"/>
      <c r="G173" s="54"/>
      <c r="H173" s="54"/>
      <c r="I173" s="54"/>
    </row>
    <row r="174">
      <c r="A174" s="76"/>
      <c r="B174" s="54"/>
      <c r="C174" s="54"/>
      <c r="D174" s="54"/>
      <c r="E174" s="54"/>
      <c r="F174" s="54"/>
      <c r="G174" s="54"/>
      <c r="H174" s="54"/>
      <c r="I174" s="54"/>
    </row>
    <row r="175">
      <c r="A175" s="76"/>
      <c r="B175" s="54"/>
      <c r="C175" s="54"/>
      <c r="D175" s="54"/>
      <c r="E175" s="54"/>
      <c r="F175" s="54"/>
      <c r="G175" s="54"/>
      <c r="H175" s="54"/>
      <c r="I175" s="54"/>
    </row>
    <row r="176">
      <c r="A176" s="76"/>
      <c r="B176" s="54"/>
      <c r="C176" s="54"/>
      <c r="D176" s="54"/>
      <c r="E176" s="54"/>
      <c r="F176" s="54"/>
      <c r="G176" s="54"/>
      <c r="H176" s="54"/>
      <c r="I176" s="54"/>
    </row>
    <row r="177">
      <c r="A177" s="76"/>
      <c r="B177" s="54"/>
      <c r="C177" s="54"/>
      <c r="D177" s="54"/>
      <c r="E177" s="54"/>
      <c r="F177" s="54"/>
      <c r="G177" s="54"/>
      <c r="H177" s="54"/>
      <c r="I177" s="54"/>
    </row>
    <row r="178">
      <c r="A178" s="76"/>
      <c r="B178" s="54"/>
      <c r="C178" s="54"/>
      <c r="D178" s="54"/>
      <c r="E178" s="54"/>
      <c r="F178" s="54"/>
      <c r="G178" s="54"/>
      <c r="H178" s="54"/>
      <c r="I178" s="54"/>
    </row>
    <row r="179">
      <c r="A179" s="76"/>
      <c r="B179" s="54"/>
      <c r="C179" s="54"/>
      <c r="D179" s="54"/>
      <c r="E179" s="54"/>
      <c r="F179" s="54"/>
      <c r="G179" s="54"/>
      <c r="H179" s="54"/>
      <c r="I179" s="54"/>
    </row>
    <row r="180">
      <c r="A180" s="76"/>
      <c r="B180" s="54"/>
      <c r="C180" s="54"/>
      <c r="D180" s="54"/>
      <c r="E180" s="54"/>
      <c r="F180" s="54"/>
      <c r="G180" s="54"/>
      <c r="H180" s="54"/>
      <c r="I180" s="54"/>
    </row>
    <row r="181">
      <c r="A181" s="76"/>
      <c r="B181" s="54"/>
      <c r="C181" s="54"/>
      <c r="D181" s="54"/>
      <c r="E181" s="54"/>
      <c r="F181" s="54"/>
      <c r="G181" s="54"/>
      <c r="H181" s="54"/>
      <c r="I181" s="54"/>
    </row>
    <row r="182">
      <c r="A182" s="76"/>
      <c r="B182" s="54"/>
      <c r="C182" s="54"/>
      <c r="D182" s="54"/>
      <c r="E182" s="54"/>
      <c r="F182" s="54"/>
      <c r="G182" s="54"/>
      <c r="H182" s="54"/>
      <c r="I182" s="54"/>
    </row>
    <row r="183">
      <c r="A183" s="76"/>
      <c r="B183" s="54"/>
      <c r="C183" s="54"/>
      <c r="D183" s="54"/>
      <c r="E183" s="54"/>
      <c r="F183" s="54"/>
      <c r="G183" s="54"/>
      <c r="H183" s="54"/>
      <c r="I183" s="54"/>
    </row>
    <row r="184">
      <c r="A184" s="76"/>
      <c r="B184" s="54"/>
      <c r="C184" s="54"/>
      <c r="D184" s="54"/>
      <c r="E184" s="54"/>
      <c r="F184" s="54"/>
      <c r="G184" s="54"/>
      <c r="H184" s="54"/>
      <c r="I184" s="54"/>
    </row>
    <row r="185">
      <c r="A185" s="76"/>
      <c r="B185" s="54"/>
      <c r="C185" s="54"/>
      <c r="D185" s="54"/>
      <c r="E185" s="54"/>
      <c r="F185" s="54"/>
      <c r="G185" s="54"/>
      <c r="H185" s="54"/>
      <c r="I185" s="54"/>
    </row>
    <row r="186">
      <c r="A186" s="76"/>
      <c r="B186" s="54"/>
      <c r="C186" s="54"/>
      <c r="D186" s="54"/>
      <c r="E186" s="54"/>
      <c r="F186" s="54"/>
      <c r="G186" s="54"/>
      <c r="H186" s="54"/>
      <c r="I186" s="54"/>
    </row>
    <row r="187">
      <c r="A187" s="76"/>
      <c r="B187" s="54"/>
      <c r="C187" s="54"/>
      <c r="D187" s="54"/>
      <c r="E187" s="54"/>
      <c r="F187" s="54"/>
      <c r="G187" s="54"/>
      <c r="H187" s="54"/>
      <c r="I187" s="54"/>
    </row>
    <row r="188">
      <c r="A188" s="76"/>
      <c r="B188" s="54"/>
      <c r="C188" s="54"/>
      <c r="D188" s="54"/>
      <c r="E188" s="54"/>
      <c r="F188" s="54"/>
      <c r="G188" s="54"/>
      <c r="H188" s="54"/>
      <c r="I188" s="54"/>
    </row>
    <row r="189">
      <c r="A189" s="76"/>
      <c r="B189" s="54"/>
      <c r="C189" s="54"/>
      <c r="D189" s="54"/>
      <c r="E189" s="54"/>
      <c r="F189" s="54"/>
      <c r="G189" s="54"/>
      <c r="H189" s="54"/>
      <c r="I189" s="54"/>
    </row>
    <row r="190">
      <c r="A190" s="76"/>
      <c r="B190" s="54"/>
      <c r="C190" s="54"/>
      <c r="D190" s="54"/>
      <c r="E190" s="54"/>
      <c r="F190" s="54"/>
      <c r="G190" s="54"/>
      <c r="H190" s="54"/>
      <c r="I190" s="54"/>
    </row>
    <row r="191">
      <c r="A191" s="76"/>
      <c r="B191" s="54"/>
      <c r="C191" s="54"/>
      <c r="D191" s="54"/>
      <c r="E191" s="54"/>
      <c r="F191" s="54"/>
      <c r="G191" s="54"/>
      <c r="H191" s="54"/>
      <c r="I191" s="54"/>
    </row>
    <row r="192">
      <c r="A192" s="76"/>
      <c r="B192" s="54"/>
      <c r="C192" s="54"/>
      <c r="D192" s="54"/>
      <c r="E192" s="54"/>
      <c r="F192" s="54"/>
      <c r="G192" s="54"/>
      <c r="H192" s="54"/>
      <c r="I192" s="54"/>
    </row>
    <row r="193">
      <c r="A193" s="76"/>
      <c r="B193" s="54"/>
      <c r="C193" s="54"/>
      <c r="D193" s="54"/>
      <c r="E193" s="54"/>
      <c r="F193" s="54"/>
      <c r="G193" s="54"/>
      <c r="H193" s="54"/>
      <c r="I193" s="54"/>
    </row>
    <row r="194">
      <c r="A194" s="76"/>
      <c r="B194" s="54"/>
      <c r="C194" s="54"/>
      <c r="D194" s="54"/>
      <c r="E194" s="54"/>
      <c r="F194" s="54"/>
      <c r="G194" s="54"/>
      <c r="H194" s="54"/>
      <c r="I194" s="54"/>
    </row>
    <row r="195">
      <c r="A195" s="76"/>
      <c r="B195" s="54"/>
      <c r="C195" s="54"/>
      <c r="D195" s="54"/>
      <c r="E195" s="54"/>
      <c r="F195" s="54"/>
      <c r="G195" s="54"/>
      <c r="H195" s="54"/>
      <c r="I195" s="54"/>
    </row>
    <row r="196">
      <c r="A196" s="76"/>
      <c r="B196" s="54"/>
      <c r="C196" s="54"/>
      <c r="D196" s="54"/>
      <c r="E196" s="54"/>
      <c r="F196" s="54"/>
      <c r="G196" s="54"/>
      <c r="H196" s="54"/>
      <c r="I196" s="54"/>
    </row>
    <row r="197">
      <c r="A197" s="76"/>
      <c r="B197" s="54"/>
      <c r="C197" s="54"/>
      <c r="D197" s="54"/>
      <c r="E197" s="54"/>
      <c r="F197" s="54"/>
      <c r="G197" s="54"/>
      <c r="H197" s="54"/>
      <c r="I197" s="54"/>
    </row>
    <row r="198">
      <c r="A198" s="76"/>
      <c r="B198" s="54"/>
      <c r="C198" s="54"/>
      <c r="D198" s="54"/>
      <c r="E198" s="54"/>
      <c r="F198" s="54"/>
      <c r="G198" s="54"/>
      <c r="H198" s="54"/>
      <c r="I198" s="54"/>
    </row>
    <row r="199">
      <c r="A199" s="76"/>
      <c r="B199" s="54"/>
      <c r="C199" s="54"/>
      <c r="D199" s="54"/>
      <c r="E199" s="54"/>
      <c r="F199" s="54"/>
      <c r="G199" s="54"/>
      <c r="H199" s="54"/>
      <c r="I199" s="54"/>
    </row>
    <row r="200">
      <c r="A200" s="76"/>
      <c r="B200" s="54"/>
      <c r="C200" s="54"/>
      <c r="D200" s="54"/>
      <c r="E200" s="54"/>
      <c r="F200" s="54"/>
      <c r="G200" s="54"/>
      <c r="H200" s="54"/>
      <c r="I200" s="54"/>
    </row>
    <row r="201">
      <c r="A201" s="76"/>
      <c r="B201" s="54"/>
      <c r="C201" s="54"/>
      <c r="D201" s="54"/>
      <c r="E201" s="54"/>
      <c r="F201" s="54"/>
      <c r="G201" s="54"/>
      <c r="H201" s="54"/>
      <c r="I201" s="54"/>
    </row>
    <row r="202">
      <c r="A202" s="76"/>
      <c r="B202" s="54"/>
      <c r="C202" s="54"/>
      <c r="D202" s="54"/>
      <c r="E202" s="54"/>
      <c r="F202" s="54"/>
      <c r="G202" s="54"/>
      <c r="H202" s="54"/>
      <c r="I202" s="54"/>
    </row>
    <row r="203">
      <c r="A203" s="76"/>
      <c r="B203" s="54"/>
      <c r="C203" s="54"/>
      <c r="D203" s="54"/>
      <c r="E203" s="54"/>
      <c r="F203" s="54"/>
      <c r="G203" s="54"/>
      <c r="H203" s="54"/>
      <c r="I203" s="54"/>
    </row>
    <row r="204">
      <c r="A204" s="76"/>
      <c r="B204" s="54"/>
      <c r="C204" s="54"/>
      <c r="D204" s="54"/>
      <c r="E204" s="54"/>
      <c r="F204" s="54"/>
      <c r="G204" s="54"/>
      <c r="H204" s="54"/>
      <c r="I204" s="54"/>
    </row>
    <row r="205">
      <c r="A205" s="76"/>
      <c r="B205" s="54"/>
      <c r="C205" s="54"/>
      <c r="D205" s="54"/>
      <c r="E205" s="54"/>
      <c r="F205" s="54"/>
      <c r="G205" s="54"/>
      <c r="H205" s="54"/>
      <c r="I205" s="54"/>
    </row>
    <row r="206">
      <c r="A206" s="76"/>
      <c r="B206" s="54"/>
      <c r="C206" s="54"/>
      <c r="D206" s="54"/>
      <c r="E206" s="54"/>
      <c r="F206" s="54"/>
      <c r="G206" s="54"/>
      <c r="H206" s="54"/>
      <c r="I206" s="54"/>
    </row>
    <row r="207">
      <c r="A207" s="76"/>
      <c r="B207" s="54"/>
      <c r="C207" s="54"/>
      <c r="D207" s="54"/>
      <c r="E207" s="54"/>
      <c r="F207" s="54"/>
      <c r="G207" s="54"/>
      <c r="H207" s="54"/>
      <c r="I207" s="54"/>
    </row>
    <row r="208">
      <c r="A208" s="76"/>
      <c r="B208" s="54"/>
      <c r="C208" s="54"/>
      <c r="D208" s="54"/>
      <c r="E208" s="54"/>
      <c r="F208" s="54"/>
      <c r="G208" s="54"/>
      <c r="H208" s="54"/>
      <c r="I208" s="54"/>
    </row>
    <row r="209">
      <c r="A209" s="76"/>
      <c r="B209" s="54"/>
      <c r="C209" s="54"/>
      <c r="D209" s="54"/>
      <c r="E209" s="54"/>
      <c r="F209" s="54"/>
      <c r="G209" s="54"/>
      <c r="H209" s="54"/>
      <c r="I209" s="54"/>
    </row>
    <row r="210">
      <c r="A210" s="76"/>
      <c r="B210" s="54"/>
      <c r="C210" s="54"/>
      <c r="D210" s="54"/>
      <c r="E210" s="54"/>
      <c r="F210" s="54"/>
      <c r="G210" s="54"/>
      <c r="H210" s="54"/>
      <c r="I210" s="54"/>
    </row>
    <row r="211">
      <c r="A211" s="76"/>
      <c r="B211" s="54"/>
      <c r="C211" s="54"/>
      <c r="D211" s="54"/>
      <c r="E211" s="54"/>
      <c r="F211" s="54"/>
      <c r="G211" s="54"/>
      <c r="H211" s="54"/>
      <c r="I211" s="54"/>
    </row>
    <row r="212">
      <c r="A212" s="76"/>
      <c r="B212" s="54"/>
      <c r="C212" s="54"/>
      <c r="D212" s="54"/>
      <c r="E212" s="54"/>
      <c r="F212" s="54"/>
      <c r="G212" s="54"/>
      <c r="H212" s="54"/>
      <c r="I212" s="54"/>
    </row>
    <row r="213">
      <c r="A213" s="76"/>
      <c r="B213" s="54"/>
      <c r="C213" s="54"/>
      <c r="D213" s="54"/>
      <c r="E213" s="54"/>
      <c r="F213" s="54"/>
      <c r="G213" s="54"/>
      <c r="H213" s="54"/>
      <c r="I213" s="54"/>
    </row>
    <row r="214">
      <c r="A214" s="76"/>
      <c r="B214" s="54"/>
      <c r="C214" s="54"/>
      <c r="D214" s="54"/>
      <c r="E214" s="54"/>
      <c r="F214" s="54"/>
      <c r="G214" s="54"/>
      <c r="H214" s="54"/>
      <c r="I214" s="54"/>
    </row>
    <row r="215">
      <c r="A215" s="76"/>
      <c r="B215" s="54"/>
      <c r="C215" s="54"/>
      <c r="D215" s="54"/>
      <c r="E215" s="54"/>
      <c r="F215" s="54"/>
      <c r="G215" s="54"/>
      <c r="H215" s="54"/>
      <c r="I215" s="54"/>
    </row>
    <row r="216">
      <c r="A216" s="76"/>
      <c r="B216" s="54"/>
      <c r="C216" s="54"/>
      <c r="D216" s="54"/>
      <c r="E216" s="54"/>
      <c r="F216" s="54"/>
      <c r="G216" s="54"/>
      <c r="H216" s="54"/>
      <c r="I216" s="54"/>
    </row>
    <row r="217">
      <c r="A217" s="76"/>
      <c r="B217" s="54"/>
      <c r="C217" s="54"/>
      <c r="D217" s="54"/>
      <c r="E217" s="54"/>
      <c r="F217" s="54"/>
      <c r="G217" s="54"/>
      <c r="H217" s="54"/>
      <c r="I217" s="54"/>
    </row>
    <row r="218">
      <c r="A218" s="76"/>
      <c r="B218" s="54"/>
      <c r="C218" s="54"/>
      <c r="D218" s="54"/>
      <c r="E218" s="54"/>
      <c r="F218" s="54"/>
      <c r="G218" s="54"/>
      <c r="H218" s="54"/>
      <c r="I218" s="54"/>
    </row>
    <row r="219">
      <c r="A219" s="76"/>
      <c r="B219" s="54"/>
      <c r="C219" s="54"/>
      <c r="D219" s="54"/>
      <c r="E219" s="54"/>
      <c r="F219" s="54"/>
      <c r="G219" s="54"/>
      <c r="H219" s="54"/>
      <c r="I219" s="54"/>
    </row>
    <row r="220">
      <c r="A220" s="76"/>
      <c r="B220" s="54"/>
      <c r="C220" s="54"/>
      <c r="D220" s="54"/>
      <c r="E220" s="54"/>
      <c r="F220" s="54"/>
      <c r="G220" s="54"/>
      <c r="H220" s="54"/>
      <c r="I220" s="54"/>
    </row>
    <row r="221">
      <c r="A221" s="76"/>
      <c r="B221" s="54"/>
      <c r="C221" s="54"/>
      <c r="D221" s="54"/>
      <c r="E221" s="54"/>
      <c r="F221" s="54"/>
      <c r="G221" s="54"/>
      <c r="H221" s="54"/>
      <c r="I221" s="54"/>
    </row>
    <row r="222">
      <c r="A222" s="76"/>
      <c r="B222" s="54"/>
      <c r="C222" s="54"/>
      <c r="D222" s="54"/>
      <c r="E222" s="54"/>
      <c r="F222" s="54"/>
      <c r="G222" s="54"/>
      <c r="H222" s="54"/>
      <c r="I222" s="54"/>
    </row>
    <row r="223">
      <c r="A223" s="76"/>
      <c r="B223" s="54"/>
      <c r="C223" s="54"/>
      <c r="D223" s="54"/>
      <c r="E223" s="54"/>
      <c r="F223" s="54"/>
      <c r="G223" s="54"/>
      <c r="H223" s="54"/>
      <c r="I223" s="54"/>
    </row>
    <row r="224">
      <c r="A224" s="76"/>
      <c r="B224" s="54"/>
      <c r="C224" s="54"/>
      <c r="D224" s="54"/>
      <c r="E224" s="54"/>
      <c r="F224" s="54"/>
      <c r="G224" s="54"/>
      <c r="H224" s="54"/>
      <c r="I224" s="54"/>
    </row>
    <row r="225">
      <c r="A225" s="76"/>
      <c r="B225" s="54"/>
      <c r="C225" s="54"/>
      <c r="D225" s="54"/>
      <c r="E225" s="54"/>
      <c r="F225" s="54"/>
      <c r="G225" s="54"/>
      <c r="H225" s="54"/>
      <c r="I225" s="54"/>
    </row>
    <row r="226">
      <c r="A226" s="76"/>
      <c r="B226" s="54"/>
      <c r="C226" s="54"/>
      <c r="D226" s="54"/>
      <c r="E226" s="54"/>
      <c r="F226" s="54"/>
      <c r="G226" s="54"/>
      <c r="H226" s="54"/>
      <c r="I226" s="54"/>
    </row>
    <row r="227">
      <c r="A227" s="76"/>
      <c r="B227" s="54"/>
      <c r="C227" s="54"/>
      <c r="D227" s="54"/>
      <c r="E227" s="54"/>
      <c r="F227" s="54"/>
      <c r="G227" s="54"/>
      <c r="H227" s="54"/>
      <c r="I227" s="54"/>
    </row>
    <row r="228">
      <c r="A228" s="76"/>
      <c r="B228" s="54"/>
      <c r="C228" s="54"/>
      <c r="D228" s="54"/>
      <c r="E228" s="54"/>
      <c r="F228" s="54"/>
      <c r="G228" s="54"/>
      <c r="H228" s="54"/>
      <c r="I228" s="54"/>
    </row>
    <row r="229">
      <c r="A229" s="76"/>
      <c r="B229" s="54"/>
      <c r="C229" s="54"/>
      <c r="D229" s="54"/>
      <c r="E229" s="54"/>
      <c r="F229" s="54"/>
      <c r="G229" s="54"/>
      <c r="H229" s="54"/>
      <c r="I229" s="54"/>
    </row>
    <row r="230">
      <c r="A230" s="76"/>
      <c r="B230" s="54"/>
      <c r="C230" s="54"/>
      <c r="D230" s="54"/>
      <c r="E230" s="54"/>
      <c r="F230" s="54"/>
      <c r="G230" s="54"/>
      <c r="H230" s="54"/>
      <c r="I230" s="54"/>
    </row>
    <row r="231">
      <c r="A231" s="76"/>
      <c r="B231" s="54"/>
      <c r="C231" s="54"/>
      <c r="D231" s="54"/>
      <c r="E231" s="54"/>
      <c r="F231" s="54"/>
      <c r="G231" s="54"/>
      <c r="H231" s="54"/>
      <c r="I231" s="54"/>
    </row>
    <row r="232">
      <c r="A232" s="76"/>
      <c r="B232" s="54"/>
      <c r="C232" s="54"/>
      <c r="D232" s="54"/>
      <c r="E232" s="54"/>
      <c r="F232" s="54"/>
      <c r="G232" s="54"/>
      <c r="H232" s="54"/>
      <c r="I232" s="54"/>
    </row>
    <row r="233">
      <c r="A233" s="76"/>
      <c r="B233" s="54"/>
      <c r="C233" s="54"/>
      <c r="D233" s="54"/>
      <c r="E233" s="54"/>
      <c r="F233" s="54"/>
      <c r="G233" s="54"/>
      <c r="H233" s="54"/>
      <c r="I233" s="54"/>
    </row>
    <row r="234">
      <c r="A234" s="76"/>
      <c r="B234" s="54"/>
      <c r="C234" s="54"/>
      <c r="D234" s="54"/>
      <c r="E234" s="54"/>
      <c r="F234" s="54"/>
      <c r="G234" s="54"/>
      <c r="H234" s="54"/>
      <c r="I234" s="54"/>
    </row>
    <row r="235">
      <c r="A235" s="76"/>
      <c r="B235" s="54"/>
      <c r="C235" s="54"/>
      <c r="D235" s="54"/>
      <c r="E235" s="54"/>
      <c r="F235" s="54"/>
      <c r="G235" s="54"/>
      <c r="H235" s="54"/>
      <c r="I235" s="54"/>
    </row>
    <row r="236">
      <c r="A236" s="76"/>
      <c r="B236" s="54"/>
      <c r="C236" s="54"/>
      <c r="D236" s="54"/>
      <c r="E236" s="54"/>
      <c r="F236" s="54"/>
      <c r="G236" s="54"/>
      <c r="H236" s="54"/>
      <c r="I236" s="54"/>
    </row>
    <row r="237">
      <c r="A237" s="76"/>
      <c r="B237" s="54"/>
      <c r="C237" s="54"/>
      <c r="D237" s="54"/>
      <c r="E237" s="54"/>
      <c r="F237" s="54"/>
      <c r="G237" s="54"/>
      <c r="H237" s="54"/>
      <c r="I237" s="54"/>
    </row>
    <row r="238">
      <c r="A238" s="76"/>
      <c r="B238" s="54"/>
      <c r="C238" s="54"/>
      <c r="D238" s="54"/>
      <c r="E238" s="54"/>
      <c r="F238" s="54"/>
      <c r="G238" s="54"/>
      <c r="H238" s="54"/>
      <c r="I238" s="54"/>
    </row>
    <row r="239">
      <c r="A239" s="76"/>
      <c r="B239" s="54"/>
      <c r="C239" s="54"/>
      <c r="D239" s="54"/>
      <c r="E239" s="54"/>
      <c r="F239" s="54"/>
      <c r="G239" s="54"/>
      <c r="H239" s="54"/>
      <c r="I239" s="54"/>
    </row>
    <row r="240">
      <c r="A240" s="76"/>
      <c r="B240" s="54"/>
      <c r="C240" s="54"/>
      <c r="D240" s="54"/>
      <c r="E240" s="54"/>
      <c r="F240" s="54"/>
      <c r="G240" s="54"/>
      <c r="H240" s="54"/>
      <c r="I240" s="54"/>
    </row>
    <row r="241">
      <c r="A241" s="76"/>
      <c r="B241" s="54"/>
      <c r="C241" s="54"/>
      <c r="D241" s="54"/>
      <c r="E241" s="54"/>
      <c r="F241" s="54"/>
      <c r="G241" s="54"/>
      <c r="H241" s="54"/>
      <c r="I241" s="54"/>
    </row>
    <row r="242">
      <c r="A242" s="76"/>
      <c r="B242" s="54"/>
      <c r="C242" s="54"/>
      <c r="D242" s="54"/>
      <c r="E242" s="54"/>
      <c r="F242" s="54"/>
      <c r="G242" s="54"/>
      <c r="H242" s="54"/>
      <c r="I242" s="54"/>
    </row>
    <row r="243">
      <c r="A243" s="76"/>
      <c r="B243" s="54"/>
      <c r="C243" s="54"/>
      <c r="D243" s="54"/>
      <c r="E243" s="54"/>
      <c r="F243" s="54"/>
      <c r="G243" s="54"/>
      <c r="H243" s="54"/>
      <c r="I243" s="54"/>
    </row>
    <row r="244">
      <c r="A244" s="76"/>
      <c r="B244" s="54"/>
      <c r="C244" s="54"/>
      <c r="D244" s="54"/>
      <c r="E244" s="54"/>
      <c r="F244" s="54"/>
      <c r="G244" s="54"/>
      <c r="H244" s="54"/>
      <c r="I244" s="54"/>
    </row>
    <row r="245">
      <c r="A245" s="76"/>
      <c r="B245" s="54"/>
      <c r="C245" s="54"/>
      <c r="D245" s="54"/>
      <c r="E245" s="54"/>
      <c r="F245" s="54"/>
      <c r="G245" s="54"/>
      <c r="H245" s="54"/>
      <c r="I245" s="54"/>
    </row>
    <row r="246">
      <c r="A246" s="76"/>
      <c r="B246" s="54"/>
      <c r="C246" s="54"/>
      <c r="D246" s="54"/>
      <c r="E246" s="54"/>
      <c r="F246" s="54"/>
      <c r="G246" s="54"/>
      <c r="H246" s="54"/>
      <c r="I246" s="54"/>
    </row>
    <row r="247">
      <c r="A247" s="76"/>
      <c r="B247" s="54"/>
      <c r="C247" s="54"/>
      <c r="D247" s="54"/>
      <c r="E247" s="54"/>
      <c r="F247" s="54"/>
      <c r="G247" s="54"/>
      <c r="H247" s="54"/>
      <c r="I247" s="54"/>
    </row>
    <row r="248">
      <c r="A248" s="76"/>
      <c r="B248" s="54"/>
      <c r="C248" s="54"/>
      <c r="D248" s="54"/>
      <c r="E248" s="54"/>
      <c r="F248" s="54"/>
      <c r="G248" s="54"/>
      <c r="H248" s="54"/>
      <c r="I248" s="54"/>
    </row>
    <row r="249">
      <c r="A249" s="76"/>
      <c r="B249" s="54"/>
      <c r="C249" s="54"/>
      <c r="D249" s="54"/>
      <c r="E249" s="54"/>
      <c r="F249" s="54"/>
      <c r="G249" s="54"/>
      <c r="H249" s="54"/>
      <c r="I249" s="54"/>
    </row>
    <row r="250">
      <c r="A250" s="76"/>
      <c r="B250" s="54"/>
      <c r="C250" s="54"/>
      <c r="D250" s="54"/>
      <c r="E250" s="54"/>
      <c r="F250" s="54"/>
      <c r="G250" s="54"/>
      <c r="H250" s="54"/>
      <c r="I250" s="54"/>
    </row>
    <row r="251">
      <c r="A251" s="76"/>
      <c r="B251" s="54"/>
      <c r="C251" s="54"/>
      <c r="D251" s="54"/>
      <c r="E251" s="54"/>
      <c r="F251" s="54"/>
      <c r="G251" s="54"/>
      <c r="H251" s="54"/>
      <c r="I251" s="54"/>
    </row>
    <row r="252">
      <c r="A252" s="76"/>
      <c r="B252" s="54"/>
      <c r="C252" s="54"/>
      <c r="D252" s="54"/>
      <c r="E252" s="54"/>
      <c r="F252" s="54"/>
      <c r="G252" s="54"/>
      <c r="H252" s="54"/>
      <c r="I252" s="54"/>
    </row>
    <row r="253">
      <c r="A253" s="76"/>
      <c r="B253" s="54"/>
      <c r="C253" s="54"/>
      <c r="D253" s="54"/>
      <c r="E253" s="54"/>
      <c r="F253" s="54"/>
      <c r="G253" s="54"/>
      <c r="H253" s="54"/>
      <c r="I253" s="54"/>
    </row>
    <row r="254">
      <c r="A254" s="76"/>
      <c r="B254" s="54"/>
      <c r="C254" s="54"/>
      <c r="D254" s="54"/>
      <c r="E254" s="54"/>
      <c r="F254" s="54"/>
      <c r="G254" s="54"/>
      <c r="H254" s="54"/>
      <c r="I254" s="54"/>
    </row>
    <row r="255">
      <c r="A255" s="76"/>
      <c r="B255" s="54"/>
      <c r="C255" s="54"/>
      <c r="D255" s="54"/>
      <c r="E255" s="54"/>
      <c r="F255" s="54"/>
      <c r="G255" s="54"/>
      <c r="H255" s="54"/>
      <c r="I255" s="54"/>
    </row>
    <row r="256">
      <c r="A256" s="76"/>
      <c r="B256" s="54"/>
      <c r="C256" s="54"/>
      <c r="D256" s="54"/>
      <c r="E256" s="54"/>
      <c r="F256" s="54"/>
      <c r="G256" s="54"/>
      <c r="H256" s="54"/>
      <c r="I256" s="54"/>
    </row>
    <row r="257">
      <c r="A257" s="76"/>
      <c r="B257" s="54"/>
      <c r="C257" s="54"/>
      <c r="D257" s="54"/>
      <c r="E257" s="54"/>
      <c r="F257" s="54"/>
      <c r="G257" s="54"/>
      <c r="H257" s="54"/>
      <c r="I257" s="54"/>
    </row>
    <row r="258">
      <c r="A258" s="76"/>
      <c r="B258" s="54"/>
      <c r="C258" s="54"/>
      <c r="D258" s="54"/>
      <c r="E258" s="54"/>
      <c r="F258" s="54"/>
      <c r="G258" s="54"/>
      <c r="H258" s="54"/>
      <c r="I258" s="54"/>
    </row>
    <row r="259">
      <c r="A259" s="76"/>
      <c r="B259" s="54"/>
      <c r="C259" s="54"/>
      <c r="D259" s="54"/>
      <c r="E259" s="54"/>
      <c r="F259" s="54"/>
      <c r="G259" s="54"/>
      <c r="H259" s="54"/>
      <c r="I259" s="54"/>
    </row>
    <row r="260">
      <c r="A260" s="76"/>
      <c r="B260" s="54"/>
      <c r="C260" s="54"/>
      <c r="D260" s="54"/>
      <c r="E260" s="54"/>
      <c r="F260" s="54"/>
      <c r="G260" s="54"/>
      <c r="H260" s="54"/>
      <c r="I260" s="54"/>
    </row>
    <row r="261">
      <c r="A261" s="76"/>
      <c r="B261" s="54"/>
      <c r="C261" s="54"/>
      <c r="D261" s="54"/>
      <c r="E261" s="54"/>
      <c r="F261" s="54"/>
      <c r="G261" s="54"/>
      <c r="H261" s="54"/>
      <c r="I261" s="54"/>
    </row>
    <row r="262">
      <c r="A262" s="76"/>
      <c r="B262" s="54"/>
      <c r="C262" s="54"/>
      <c r="D262" s="54"/>
      <c r="E262" s="54"/>
      <c r="F262" s="54"/>
      <c r="G262" s="54"/>
      <c r="H262" s="54"/>
      <c r="I262" s="54"/>
    </row>
    <row r="263">
      <c r="A263" s="76"/>
      <c r="B263" s="54"/>
      <c r="C263" s="54"/>
      <c r="D263" s="54"/>
      <c r="E263" s="54"/>
      <c r="F263" s="54"/>
      <c r="G263" s="54"/>
      <c r="H263" s="54"/>
      <c r="I263" s="54"/>
    </row>
    <row r="264">
      <c r="A264" s="76"/>
      <c r="B264" s="54"/>
      <c r="C264" s="54"/>
      <c r="D264" s="54"/>
      <c r="E264" s="54"/>
      <c r="F264" s="54"/>
      <c r="G264" s="54"/>
      <c r="H264" s="54"/>
      <c r="I264" s="54"/>
    </row>
    <row r="265">
      <c r="A265" s="76"/>
      <c r="B265" s="54"/>
      <c r="C265" s="54"/>
      <c r="D265" s="54"/>
      <c r="E265" s="54"/>
      <c r="F265" s="54"/>
      <c r="G265" s="54"/>
      <c r="H265" s="54"/>
      <c r="I265" s="54"/>
    </row>
    <row r="266">
      <c r="A266" s="76"/>
      <c r="B266" s="54"/>
      <c r="C266" s="54"/>
      <c r="D266" s="54"/>
      <c r="E266" s="54"/>
      <c r="F266" s="54"/>
      <c r="G266" s="54"/>
      <c r="H266" s="54"/>
      <c r="I266" s="54"/>
    </row>
    <row r="267">
      <c r="A267" s="76"/>
      <c r="B267" s="54"/>
      <c r="C267" s="54"/>
      <c r="D267" s="54"/>
      <c r="E267" s="54"/>
      <c r="F267" s="54"/>
      <c r="G267" s="54"/>
      <c r="H267" s="54"/>
      <c r="I267" s="54"/>
    </row>
    <row r="268">
      <c r="A268" s="76"/>
      <c r="B268" s="54"/>
      <c r="C268" s="54"/>
      <c r="D268" s="54"/>
      <c r="E268" s="54"/>
      <c r="F268" s="54"/>
      <c r="G268" s="54"/>
      <c r="H268" s="54"/>
      <c r="I268" s="54"/>
    </row>
    <row r="269">
      <c r="A269" s="76"/>
      <c r="B269" s="54"/>
      <c r="C269" s="54"/>
      <c r="D269" s="54"/>
      <c r="E269" s="54"/>
      <c r="F269" s="54"/>
      <c r="G269" s="54"/>
      <c r="H269" s="54"/>
      <c r="I269" s="54"/>
    </row>
    <row r="270">
      <c r="A270" s="76"/>
      <c r="B270" s="54"/>
      <c r="C270" s="54"/>
      <c r="D270" s="54"/>
      <c r="E270" s="54"/>
      <c r="F270" s="54"/>
      <c r="G270" s="54"/>
      <c r="H270" s="54"/>
      <c r="I270" s="54"/>
    </row>
    <row r="271">
      <c r="A271" s="76"/>
      <c r="B271" s="54"/>
      <c r="C271" s="54"/>
      <c r="D271" s="54"/>
      <c r="E271" s="54"/>
      <c r="F271" s="54"/>
      <c r="G271" s="54"/>
      <c r="H271" s="54"/>
      <c r="I271" s="54"/>
    </row>
    <row r="272">
      <c r="A272" s="76"/>
      <c r="B272" s="54"/>
      <c r="C272" s="54"/>
      <c r="D272" s="54"/>
      <c r="E272" s="54"/>
      <c r="F272" s="54"/>
      <c r="G272" s="54"/>
      <c r="H272" s="54"/>
      <c r="I272" s="54"/>
    </row>
    <row r="273">
      <c r="A273" s="76"/>
      <c r="B273" s="54"/>
      <c r="C273" s="54"/>
      <c r="D273" s="54"/>
      <c r="E273" s="54"/>
      <c r="F273" s="54"/>
      <c r="G273" s="54"/>
      <c r="H273" s="54"/>
      <c r="I273" s="54"/>
    </row>
    <row r="274">
      <c r="A274" s="76"/>
      <c r="B274" s="54"/>
      <c r="C274" s="54"/>
      <c r="D274" s="54"/>
      <c r="E274" s="54"/>
      <c r="F274" s="54"/>
      <c r="G274" s="54"/>
      <c r="H274" s="54"/>
      <c r="I274" s="54"/>
    </row>
    <row r="275">
      <c r="A275" s="76"/>
      <c r="B275" s="54"/>
      <c r="C275" s="54"/>
      <c r="D275" s="54"/>
      <c r="E275" s="54"/>
      <c r="F275" s="54"/>
      <c r="G275" s="54"/>
      <c r="H275" s="54"/>
      <c r="I275" s="54"/>
    </row>
    <row r="276">
      <c r="A276" s="76"/>
      <c r="B276" s="54"/>
      <c r="C276" s="54"/>
      <c r="D276" s="54"/>
      <c r="E276" s="54"/>
      <c r="F276" s="54"/>
      <c r="G276" s="54"/>
      <c r="H276" s="54"/>
      <c r="I276" s="54"/>
    </row>
    <row r="277">
      <c r="A277" s="76"/>
      <c r="B277" s="54"/>
      <c r="C277" s="54"/>
      <c r="D277" s="54"/>
      <c r="E277" s="54"/>
      <c r="F277" s="54"/>
      <c r="G277" s="54"/>
      <c r="H277" s="54"/>
      <c r="I277" s="54"/>
    </row>
    <row r="278">
      <c r="A278" s="76"/>
      <c r="B278" s="54"/>
      <c r="C278" s="54"/>
      <c r="D278" s="54"/>
      <c r="E278" s="54"/>
      <c r="F278" s="54"/>
      <c r="G278" s="54"/>
      <c r="H278" s="54"/>
      <c r="I278" s="54"/>
    </row>
    <row r="279">
      <c r="A279" s="76"/>
      <c r="B279" s="54"/>
      <c r="C279" s="54"/>
      <c r="D279" s="54"/>
      <c r="E279" s="54"/>
      <c r="F279" s="54"/>
      <c r="G279" s="54"/>
      <c r="H279" s="54"/>
      <c r="I279" s="54"/>
    </row>
    <row r="280">
      <c r="A280" s="76"/>
      <c r="B280" s="54"/>
      <c r="C280" s="54"/>
      <c r="D280" s="54"/>
      <c r="E280" s="54"/>
      <c r="F280" s="54"/>
      <c r="G280" s="54"/>
      <c r="H280" s="54"/>
      <c r="I280" s="54"/>
    </row>
    <row r="281">
      <c r="A281" s="76"/>
      <c r="B281" s="54"/>
      <c r="C281" s="54"/>
      <c r="D281" s="54"/>
      <c r="E281" s="54"/>
      <c r="F281" s="54"/>
      <c r="G281" s="54"/>
      <c r="H281" s="54"/>
      <c r="I281" s="54"/>
    </row>
    <row r="282">
      <c r="A282" s="76"/>
      <c r="B282" s="54"/>
      <c r="C282" s="54"/>
      <c r="D282" s="54"/>
      <c r="E282" s="54"/>
      <c r="F282" s="54"/>
      <c r="G282" s="54"/>
      <c r="H282" s="54"/>
      <c r="I282" s="54"/>
    </row>
    <row r="283">
      <c r="A283" s="76"/>
      <c r="B283" s="54"/>
      <c r="C283" s="54"/>
      <c r="D283" s="54"/>
      <c r="E283" s="54"/>
      <c r="F283" s="54"/>
      <c r="G283" s="54"/>
      <c r="H283" s="54"/>
      <c r="I283" s="54"/>
    </row>
    <row r="284">
      <c r="A284" s="76"/>
      <c r="B284" s="54"/>
      <c r="C284" s="54"/>
      <c r="D284" s="54"/>
      <c r="E284" s="54"/>
      <c r="F284" s="54"/>
      <c r="G284" s="54"/>
      <c r="H284" s="54"/>
      <c r="I284" s="54"/>
    </row>
    <row r="285">
      <c r="A285" s="76"/>
      <c r="B285" s="54"/>
      <c r="C285" s="54"/>
      <c r="D285" s="54"/>
      <c r="E285" s="54"/>
      <c r="F285" s="54"/>
      <c r="G285" s="54"/>
      <c r="H285" s="54"/>
      <c r="I285" s="54"/>
    </row>
    <row r="286">
      <c r="A286" s="76"/>
      <c r="B286" s="54"/>
      <c r="C286" s="54"/>
      <c r="D286" s="54"/>
      <c r="E286" s="54"/>
      <c r="F286" s="54"/>
      <c r="G286" s="54"/>
      <c r="H286" s="54"/>
      <c r="I286" s="54"/>
    </row>
    <row r="287">
      <c r="A287" s="76"/>
      <c r="B287" s="54"/>
      <c r="C287" s="54"/>
      <c r="D287" s="54"/>
      <c r="E287" s="54"/>
      <c r="F287" s="54"/>
      <c r="G287" s="54"/>
      <c r="H287" s="54"/>
      <c r="I287" s="54"/>
    </row>
    <row r="288">
      <c r="A288" s="76"/>
      <c r="B288" s="54"/>
      <c r="C288" s="54"/>
      <c r="D288" s="54"/>
      <c r="E288" s="54"/>
      <c r="F288" s="54"/>
      <c r="G288" s="54"/>
      <c r="H288" s="54"/>
      <c r="I288" s="54"/>
    </row>
    <row r="289">
      <c r="A289" s="76"/>
      <c r="B289" s="54"/>
      <c r="C289" s="54"/>
      <c r="D289" s="54"/>
      <c r="E289" s="54"/>
      <c r="F289" s="54"/>
      <c r="G289" s="54"/>
      <c r="H289" s="54"/>
      <c r="I289" s="54"/>
    </row>
    <row r="290">
      <c r="A290" s="76"/>
      <c r="B290" s="54"/>
      <c r="C290" s="54"/>
      <c r="D290" s="54"/>
      <c r="E290" s="54"/>
      <c r="F290" s="54"/>
      <c r="G290" s="54"/>
      <c r="H290" s="54"/>
      <c r="I290" s="54"/>
    </row>
    <row r="291">
      <c r="A291" s="76"/>
      <c r="B291" s="54"/>
      <c r="C291" s="54"/>
      <c r="D291" s="54"/>
      <c r="E291" s="54"/>
      <c r="F291" s="54"/>
      <c r="G291" s="54"/>
      <c r="H291" s="54"/>
      <c r="I291" s="54"/>
    </row>
    <row r="292">
      <c r="A292" s="76"/>
      <c r="B292" s="54"/>
      <c r="C292" s="54"/>
      <c r="D292" s="54"/>
      <c r="E292" s="54"/>
      <c r="F292" s="54"/>
      <c r="G292" s="54"/>
      <c r="H292" s="54"/>
      <c r="I292" s="54"/>
    </row>
    <row r="293">
      <c r="A293" s="76"/>
      <c r="B293" s="54"/>
      <c r="C293" s="54"/>
      <c r="D293" s="54"/>
      <c r="E293" s="54"/>
      <c r="F293" s="54"/>
      <c r="G293" s="54"/>
      <c r="H293" s="54"/>
      <c r="I293" s="54"/>
    </row>
    <row r="294">
      <c r="A294" s="76"/>
      <c r="B294" s="54"/>
      <c r="C294" s="54"/>
      <c r="D294" s="54"/>
      <c r="E294" s="54"/>
      <c r="F294" s="54"/>
      <c r="G294" s="54"/>
      <c r="H294" s="54"/>
      <c r="I294" s="54"/>
    </row>
    <row r="295">
      <c r="A295" s="76"/>
      <c r="B295" s="54"/>
      <c r="C295" s="54"/>
      <c r="D295" s="54"/>
      <c r="E295" s="54"/>
      <c r="F295" s="54"/>
      <c r="G295" s="54"/>
      <c r="H295" s="54"/>
      <c r="I295" s="54"/>
    </row>
    <row r="296">
      <c r="A296" s="76"/>
      <c r="B296" s="54"/>
      <c r="C296" s="54"/>
      <c r="D296" s="54"/>
      <c r="E296" s="54"/>
      <c r="F296" s="54"/>
      <c r="G296" s="54"/>
      <c r="H296" s="54"/>
      <c r="I296" s="54"/>
    </row>
    <row r="297">
      <c r="A297" s="76"/>
      <c r="B297" s="54"/>
      <c r="C297" s="54"/>
      <c r="D297" s="54"/>
      <c r="E297" s="54"/>
      <c r="F297" s="54"/>
      <c r="G297" s="54"/>
      <c r="H297" s="54"/>
      <c r="I297" s="54"/>
    </row>
    <row r="298">
      <c r="A298" s="76"/>
      <c r="B298" s="54"/>
      <c r="C298" s="54"/>
      <c r="D298" s="54"/>
      <c r="E298" s="54"/>
      <c r="F298" s="54"/>
      <c r="G298" s="54"/>
      <c r="H298" s="54"/>
      <c r="I298" s="54"/>
    </row>
    <row r="299">
      <c r="A299" s="76"/>
      <c r="B299" s="54"/>
      <c r="C299" s="54"/>
      <c r="D299" s="54"/>
      <c r="E299" s="54"/>
      <c r="F299" s="54"/>
      <c r="G299" s="54"/>
      <c r="H299" s="54"/>
      <c r="I299" s="54"/>
    </row>
    <row r="300">
      <c r="A300" s="76"/>
      <c r="B300" s="54"/>
      <c r="C300" s="54"/>
      <c r="D300" s="54"/>
      <c r="E300" s="54"/>
      <c r="F300" s="54"/>
      <c r="G300" s="54"/>
      <c r="H300" s="54"/>
      <c r="I300" s="54"/>
    </row>
    <row r="301">
      <c r="A301" s="76"/>
      <c r="B301" s="54"/>
      <c r="C301" s="54"/>
      <c r="D301" s="54"/>
      <c r="E301" s="54"/>
      <c r="F301" s="54"/>
      <c r="G301" s="54"/>
      <c r="H301" s="54"/>
      <c r="I301" s="54"/>
    </row>
    <row r="302">
      <c r="A302" s="76"/>
      <c r="B302" s="54"/>
      <c r="C302" s="54"/>
      <c r="D302" s="54"/>
      <c r="E302" s="54"/>
      <c r="F302" s="54"/>
      <c r="G302" s="54"/>
      <c r="H302" s="54"/>
      <c r="I302" s="54"/>
    </row>
    <row r="303">
      <c r="A303" s="76"/>
      <c r="B303" s="54"/>
      <c r="C303" s="54"/>
      <c r="D303" s="54"/>
      <c r="E303" s="54"/>
      <c r="F303" s="54"/>
      <c r="G303" s="54"/>
      <c r="H303" s="54"/>
      <c r="I303" s="54"/>
    </row>
    <row r="304">
      <c r="A304" s="76"/>
      <c r="B304" s="54"/>
      <c r="C304" s="54"/>
      <c r="D304" s="54"/>
      <c r="E304" s="54"/>
      <c r="F304" s="54"/>
      <c r="G304" s="54"/>
      <c r="H304" s="54"/>
      <c r="I304" s="54"/>
    </row>
    <row r="305">
      <c r="A305" s="76"/>
      <c r="B305" s="54"/>
      <c r="C305" s="54"/>
      <c r="D305" s="54"/>
      <c r="E305" s="54"/>
      <c r="F305" s="54"/>
      <c r="G305" s="54"/>
      <c r="H305" s="54"/>
      <c r="I305" s="54"/>
    </row>
    <row r="306">
      <c r="A306" s="76"/>
      <c r="B306" s="54"/>
      <c r="C306" s="54"/>
      <c r="D306" s="54"/>
      <c r="E306" s="54"/>
      <c r="F306" s="54"/>
      <c r="G306" s="54"/>
      <c r="H306" s="54"/>
      <c r="I306" s="54"/>
    </row>
    <row r="307">
      <c r="A307" s="76"/>
      <c r="B307" s="54"/>
      <c r="C307" s="54"/>
      <c r="D307" s="54"/>
      <c r="E307" s="54"/>
      <c r="F307" s="54"/>
      <c r="G307" s="54"/>
      <c r="H307" s="54"/>
      <c r="I307" s="54"/>
    </row>
    <row r="308">
      <c r="A308" s="76"/>
      <c r="B308" s="54"/>
      <c r="C308" s="54"/>
      <c r="D308" s="54"/>
      <c r="E308" s="54"/>
      <c r="F308" s="54"/>
      <c r="G308" s="54"/>
      <c r="H308" s="54"/>
      <c r="I308" s="54"/>
    </row>
    <row r="309">
      <c r="A309" s="76"/>
      <c r="B309" s="54"/>
      <c r="C309" s="54"/>
      <c r="D309" s="54"/>
      <c r="E309" s="54"/>
      <c r="F309" s="54"/>
      <c r="G309" s="54"/>
      <c r="H309" s="54"/>
      <c r="I309" s="54"/>
    </row>
    <row r="310">
      <c r="A310" s="76"/>
      <c r="B310" s="54"/>
      <c r="C310" s="54"/>
      <c r="D310" s="54"/>
      <c r="E310" s="54"/>
      <c r="F310" s="54"/>
      <c r="G310" s="54"/>
      <c r="H310" s="54"/>
      <c r="I310" s="54"/>
    </row>
    <row r="311">
      <c r="A311" s="76"/>
      <c r="B311" s="54"/>
      <c r="C311" s="54"/>
      <c r="D311" s="54"/>
      <c r="E311" s="54"/>
      <c r="F311" s="54"/>
      <c r="G311" s="54"/>
      <c r="H311" s="54"/>
      <c r="I311" s="54"/>
    </row>
    <row r="312">
      <c r="A312" s="76"/>
      <c r="B312" s="54"/>
      <c r="C312" s="54"/>
      <c r="D312" s="54"/>
      <c r="E312" s="54"/>
      <c r="F312" s="54"/>
      <c r="G312" s="54"/>
      <c r="H312" s="54"/>
      <c r="I312" s="54"/>
    </row>
    <row r="313">
      <c r="A313" s="76"/>
      <c r="B313" s="54"/>
      <c r="C313" s="54"/>
      <c r="D313" s="54"/>
      <c r="E313" s="54"/>
      <c r="F313" s="54"/>
      <c r="G313" s="54"/>
      <c r="H313" s="54"/>
      <c r="I313" s="54"/>
    </row>
    <row r="314">
      <c r="A314" s="76"/>
      <c r="B314" s="54"/>
      <c r="C314" s="54"/>
      <c r="D314" s="54"/>
      <c r="E314" s="54"/>
      <c r="F314" s="54"/>
      <c r="G314" s="54"/>
      <c r="H314" s="54"/>
      <c r="I314" s="54"/>
    </row>
    <row r="315">
      <c r="A315" s="76"/>
      <c r="B315" s="54"/>
      <c r="C315" s="54"/>
      <c r="D315" s="54"/>
      <c r="E315" s="54"/>
      <c r="F315" s="54"/>
      <c r="G315" s="54"/>
      <c r="H315" s="54"/>
      <c r="I315" s="54"/>
    </row>
    <row r="316">
      <c r="A316" s="76"/>
      <c r="B316" s="54"/>
      <c r="C316" s="54"/>
      <c r="D316" s="54"/>
      <c r="E316" s="54"/>
      <c r="F316" s="54"/>
      <c r="G316" s="54"/>
      <c r="H316" s="54"/>
      <c r="I316" s="54"/>
    </row>
    <row r="317">
      <c r="A317" s="76"/>
      <c r="B317" s="54"/>
      <c r="C317" s="54"/>
      <c r="D317" s="54"/>
      <c r="E317" s="54"/>
      <c r="F317" s="54"/>
      <c r="G317" s="54"/>
      <c r="H317" s="54"/>
      <c r="I317" s="54"/>
    </row>
    <row r="318">
      <c r="A318" s="76"/>
      <c r="B318" s="54"/>
      <c r="C318" s="54"/>
      <c r="D318" s="54"/>
      <c r="E318" s="54"/>
      <c r="F318" s="54"/>
      <c r="G318" s="54"/>
      <c r="H318" s="54"/>
      <c r="I318" s="54"/>
    </row>
    <row r="319">
      <c r="A319" s="76"/>
      <c r="B319" s="54"/>
      <c r="C319" s="54"/>
      <c r="D319" s="54"/>
      <c r="E319" s="54"/>
      <c r="F319" s="54"/>
      <c r="G319" s="54"/>
      <c r="H319" s="54"/>
      <c r="I319" s="54"/>
    </row>
    <row r="320">
      <c r="A320" s="76"/>
      <c r="B320" s="54"/>
      <c r="C320" s="54"/>
      <c r="D320" s="54"/>
      <c r="E320" s="54"/>
      <c r="F320" s="54"/>
      <c r="G320" s="54"/>
      <c r="H320" s="54"/>
      <c r="I320" s="54"/>
    </row>
    <row r="321">
      <c r="A321" s="76"/>
      <c r="B321" s="54"/>
      <c r="C321" s="54"/>
      <c r="D321" s="54"/>
      <c r="E321" s="54"/>
      <c r="F321" s="54"/>
      <c r="G321" s="54"/>
      <c r="H321" s="54"/>
      <c r="I321" s="54"/>
    </row>
    <row r="322">
      <c r="A322" s="76"/>
      <c r="B322" s="54"/>
      <c r="C322" s="54"/>
      <c r="D322" s="54"/>
      <c r="E322" s="54"/>
      <c r="F322" s="54"/>
      <c r="G322" s="54"/>
      <c r="H322" s="54"/>
      <c r="I322" s="54"/>
    </row>
    <row r="323">
      <c r="A323" s="76"/>
      <c r="B323" s="54"/>
      <c r="C323" s="54"/>
      <c r="D323" s="54"/>
      <c r="E323" s="54"/>
      <c r="F323" s="54"/>
      <c r="G323" s="54"/>
      <c r="H323" s="54"/>
      <c r="I323" s="54"/>
    </row>
    <row r="324">
      <c r="A324" s="76"/>
      <c r="B324" s="54"/>
      <c r="C324" s="54"/>
      <c r="D324" s="54"/>
      <c r="E324" s="54"/>
      <c r="F324" s="54"/>
      <c r="G324" s="54"/>
      <c r="H324" s="54"/>
      <c r="I324" s="54"/>
    </row>
    <row r="325">
      <c r="A325" s="76"/>
      <c r="B325" s="54"/>
      <c r="C325" s="54"/>
      <c r="D325" s="54"/>
      <c r="E325" s="54"/>
      <c r="F325" s="54"/>
      <c r="G325" s="54"/>
      <c r="H325" s="54"/>
      <c r="I325" s="54"/>
    </row>
    <row r="326">
      <c r="A326" s="76"/>
      <c r="B326" s="54"/>
      <c r="C326" s="54"/>
      <c r="D326" s="54"/>
      <c r="E326" s="54"/>
      <c r="F326" s="54"/>
      <c r="G326" s="54"/>
      <c r="H326" s="54"/>
      <c r="I326" s="54"/>
    </row>
    <row r="327">
      <c r="A327" s="76"/>
      <c r="B327" s="54"/>
      <c r="C327" s="54"/>
      <c r="D327" s="54"/>
      <c r="E327" s="54"/>
      <c r="F327" s="54"/>
      <c r="G327" s="54"/>
      <c r="H327" s="54"/>
      <c r="I327" s="54"/>
    </row>
    <row r="328">
      <c r="A328" s="76"/>
      <c r="B328" s="54"/>
      <c r="C328" s="54"/>
      <c r="D328" s="54"/>
      <c r="E328" s="54"/>
      <c r="F328" s="54"/>
      <c r="G328" s="54"/>
      <c r="H328" s="54"/>
      <c r="I328" s="54"/>
    </row>
    <row r="329">
      <c r="A329" s="76"/>
      <c r="B329" s="54"/>
      <c r="C329" s="54"/>
      <c r="D329" s="54"/>
      <c r="E329" s="54"/>
      <c r="F329" s="54"/>
      <c r="G329" s="54"/>
      <c r="H329" s="54"/>
      <c r="I329" s="54"/>
    </row>
    <row r="330">
      <c r="A330" s="76"/>
      <c r="B330" s="54"/>
      <c r="C330" s="54"/>
      <c r="D330" s="54"/>
      <c r="E330" s="54"/>
      <c r="F330" s="54"/>
      <c r="G330" s="54"/>
      <c r="H330" s="54"/>
      <c r="I330" s="54"/>
    </row>
    <row r="331">
      <c r="A331" s="76"/>
      <c r="B331" s="54"/>
      <c r="C331" s="54"/>
      <c r="D331" s="54"/>
      <c r="E331" s="54"/>
      <c r="F331" s="54"/>
      <c r="G331" s="54"/>
      <c r="H331" s="54"/>
      <c r="I331" s="54"/>
    </row>
    <row r="332">
      <c r="A332" s="76"/>
      <c r="B332" s="54"/>
      <c r="C332" s="54"/>
      <c r="D332" s="54"/>
      <c r="E332" s="54"/>
      <c r="F332" s="54"/>
      <c r="G332" s="54"/>
      <c r="H332" s="54"/>
      <c r="I332" s="54"/>
    </row>
    <row r="333">
      <c r="A333" s="76"/>
      <c r="B333" s="54"/>
      <c r="C333" s="54"/>
      <c r="D333" s="54"/>
      <c r="E333" s="54"/>
      <c r="F333" s="54"/>
      <c r="G333" s="54"/>
      <c r="H333" s="54"/>
      <c r="I333" s="54"/>
    </row>
    <row r="334">
      <c r="A334" s="76"/>
      <c r="B334" s="54"/>
      <c r="C334" s="54"/>
      <c r="D334" s="54"/>
      <c r="E334" s="54"/>
      <c r="F334" s="54"/>
      <c r="G334" s="54"/>
      <c r="H334" s="54"/>
      <c r="I334" s="54"/>
    </row>
    <row r="335">
      <c r="A335" s="76"/>
      <c r="B335" s="54"/>
      <c r="C335" s="54"/>
      <c r="D335" s="54"/>
      <c r="E335" s="54"/>
      <c r="F335" s="54"/>
      <c r="G335" s="54"/>
      <c r="H335" s="54"/>
      <c r="I335" s="54"/>
    </row>
    <row r="336">
      <c r="A336" s="76"/>
      <c r="B336" s="54"/>
      <c r="C336" s="54"/>
      <c r="D336" s="54"/>
      <c r="E336" s="54"/>
      <c r="F336" s="54"/>
      <c r="G336" s="54"/>
      <c r="H336" s="54"/>
      <c r="I336" s="54"/>
    </row>
    <row r="337">
      <c r="A337" s="76"/>
      <c r="B337" s="54"/>
      <c r="C337" s="54"/>
      <c r="D337" s="54"/>
      <c r="E337" s="54"/>
      <c r="F337" s="54"/>
      <c r="G337" s="54"/>
      <c r="H337" s="54"/>
      <c r="I337" s="54"/>
    </row>
    <row r="338">
      <c r="A338" s="76"/>
      <c r="B338" s="54"/>
      <c r="C338" s="54"/>
      <c r="D338" s="54"/>
      <c r="E338" s="54"/>
      <c r="F338" s="54"/>
      <c r="G338" s="54"/>
      <c r="H338" s="54"/>
      <c r="I338" s="54"/>
    </row>
    <row r="339">
      <c r="A339" s="76"/>
      <c r="B339" s="54"/>
      <c r="C339" s="54"/>
      <c r="D339" s="54"/>
      <c r="E339" s="54"/>
      <c r="F339" s="54"/>
      <c r="G339" s="54"/>
      <c r="H339" s="54"/>
      <c r="I339" s="54"/>
    </row>
    <row r="340">
      <c r="A340" s="76"/>
      <c r="B340" s="54"/>
      <c r="C340" s="54"/>
      <c r="D340" s="54"/>
      <c r="E340" s="54"/>
      <c r="F340" s="54"/>
      <c r="G340" s="54"/>
      <c r="H340" s="54"/>
      <c r="I340" s="54"/>
    </row>
    <row r="341">
      <c r="A341" s="76"/>
      <c r="B341" s="54"/>
      <c r="C341" s="54"/>
      <c r="D341" s="54"/>
      <c r="E341" s="54"/>
      <c r="F341" s="54"/>
      <c r="G341" s="54"/>
      <c r="H341" s="54"/>
      <c r="I341" s="54"/>
    </row>
    <row r="342">
      <c r="A342" s="76"/>
      <c r="B342" s="54"/>
      <c r="C342" s="54"/>
      <c r="D342" s="54"/>
      <c r="E342" s="54"/>
      <c r="F342" s="54"/>
      <c r="G342" s="54"/>
      <c r="H342" s="54"/>
      <c r="I342" s="54"/>
    </row>
    <row r="343">
      <c r="A343" s="76"/>
      <c r="B343" s="54"/>
      <c r="C343" s="54"/>
      <c r="D343" s="54"/>
      <c r="E343" s="54"/>
      <c r="F343" s="54"/>
      <c r="G343" s="54"/>
      <c r="H343" s="54"/>
      <c r="I343" s="54"/>
    </row>
    <row r="344">
      <c r="A344" s="76"/>
      <c r="B344" s="54"/>
      <c r="C344" s="54"/>
      <c r="D344" s="54"/>
      <c r="E344" s="54"/>
      <c r="F344" s="54"/>
      <c r="G344" s="54"/>
      <c r="H344" s="54"/>
      <c r="I344" s="54"/>
    </row>
    <row r="345">
      <c r="A345" s="76"/>
      <c r="B345" s="54"/>
      <c r="C345" s="54"/>
      <c r="D345" s="54"/>
      <c r="E345" s="54"/>
      <c r="F345" s="54"/>
      <c r="G345" s="54"/>
      <c r="H345" s="54"/>
      <c r="I345" s="54"/>
    </row>
    <row r="346">
      <c r="A346" s="76"/>
      <c r="B346" s="54"/>
      <c r="C346" s="54"/>
      <c r="D346" s="54"/>
      <c r="E346" s="54"/>
      <c r="F346" s="54"/>
      <c r="G346" s="54"/>
      <c r="H346" s="54"/>
      <c r="I346" s="54"/>
    </row>
    <row r="347">
      <c r="A347" s="76"/>
      <c r="B347" s="54"/>
      <c r="C347" s="54"/>
      <c r="D347" s="54"/>
      <c r="E347" s="54"/>
      <c r="F347" s="54"/>
      <c r="G347" s="54"/>
      <c r="H347" s="54"/>
      <c r="I347" s="54"/>
    </row>
    <row r="348">
      <c r="A348" s="76"/>
      <c r="B348" s="54"/>
      <c r="C348" s="54"/>
      <c r="D348" s="54"/>
      <c r="E348" s="54"/>
      <c r="F348" s="54"/>
      <c r="G348" s="54"/>
      <c r="H348" s="54"/>
      <c r="I348" s="54"/>
    </row>
    <row r="349">
      <c r="A349" s="76"/>
      <c r="B349" s="54"/>
      <c r="C349" s="54"/>
      <c r="D349" s="54"/>
      <c r="E349" s="54"/>
      <c r="F349" s="54"/>
      <c r="G349" s="54"/>
      <c r="H349" s="54"/>
      <c r="I349" s="54"/>
    </row>
    <row r="350">
      <c r="A350" s="76"/>
      <c r="B350" s="54"/>
      <c r="C350" s="54"/>
      <c r="D350" s="54"/>
      <c r="E350" s="54"/>
      <c r="F350" s="54"/>
      <c r="G350" s="54"/>
      <c r="H350" s="54"/>
      <c r="I350" s="54"/>
    </row>
    <row r="351">
      <c r="A351" s="76"/>
      <c r="B351" s="54"/>
      <c r="C351" s="54"/>
      <c r="D351" s="54"/>
      <c r="E351" s="54"/>
      <c r="F351" s="54"/>
      <c r="G351" s="54"/>
      <c r="H351" s="54"/>
      <c r="I351" s="54"/>
    </row>
    <row r="352">
      <c r="A352" s="76"/>
      <c r="B352" s="54"/>
      <c r="C352" s="54"/>
      <c r="D352" s="54"/>
      <c r="E352" s="54"/>
      <c r="F352" s="54"/>
      <c r="G352" s="54"/>
      <c r="H352" s="54"/>
      <c r="I352" s="54"/>
    </row>
    <row r="353">
      <c r="A353" s="76"/>
      <c r="B353" s="54"/>
      <c r="C353" s="54"/>
      <c r="D353" s="54"/>
      <c r="E353" s="54"/>
      <c r="F353" s="54"/>
      <c r="G353" s="54"/>
      <c r="H353" s="54"/>
      <c r="I353" s="54"/>
    </row>
    <row r="354">
      <c r="A354" s="76"/>
      <c r="B354" s="54"/>
      <c r="C354" s="54"/>
      <c r="D354" s="54"/>
      <c r="E354" s="54"/>
      <c r="F354" s="54"/>
      <c r="G354" s="54"/>
      <c r="H354" s="54"/>
      <c r="I354" s="54"/>
    </row>
    <row r="355">
      <c r="A355" s="76"/>
      <c r="B355" s="54"/>
      <c r="C355" s="54"/>
      <c r="D355" s="54"/>
      <c r="E355" s="54"/>
      <c r="F355" s="54"/>
      <c r="G355" s="54"/>
      <c r="H355" s="54"/>
      <c r="I355" s="54"/>
    </row>
    <row r="356">
      <c r="A356" s="76"/>
      <c r="B356" s="54"/>
      <c r="C356" s="54"/>
      <c r="D356" s="54"/>
      <c r="E356" s="54"/>
      <c r="F356" s="54"/>
      <c r="G356" s="54"/>
      <c r="H356" s="54"/>
      <c r="I356" s="54"/>
    </row>
    <row r="357">
      <c r="A357" s="76"/>
      <c r="B357" s="54"/>
      <c r="C357" s="54"/>
      <c r="D357" s="54"/>
      <c r="E357" s="54"/>
      <c r="F357" s="54"/>
      <c r="G357" s="54"/>
      <c r="H357" s="54"/>
      <c r="I357" s="54"/>
    </row>
    <row r="358">
      <c r="A358" s="76"/>
      <c r="B358" s="54"/>
      <c r="C358" s="54"/>
      <c r="D358" s="54"/>
      <c r="E358" s="54"/>
      <c r="F358" s="54"/>
      <c r="G358" s="54"/>
      <c r="H358" s="54"/>
      <c r="I358" s="54"/>
    </row>
    <row r="359">
      <c r="A359" s="76"/>
      <c r="B359" s="54"/>
      <c r="C359" s="54"/>
      <c r="D359" s="54"/>
      <c r="E359" s="54"/>
      <c r="F359" s="54"/>
      <c r="G359" s="54"/>
      <c r="H359" s="54"/>
      <c r="I359" s="54"/>
    </row>
    <row r="360">
      <c r="A360" s="76"/>
      <c r="B360" s="54"/>
      <c r="C360" s="54"/>
      <c r="D360" s="54"/>
      <c r="E360" s="54"/>
      <c r="F360" s="54"/>
      <c r="G360" s="54"/>
      <c r="H360" s="54"/>
      <c r="I360" s="54"/>
    </row>
    <row r="361">
      <c r="A361" s="76"/>
      <c r="B361" s="54"/>
      <c r="C361" s="54"/>
      <c r="D361" s="54"/>
      <c r="E361" s="54"/>
      <c r="F361" s="54"/>
      <c r="G361" s="54"/>
      <c r="H361" s="54"/>
      <c r="I361" s="54"/>
    </row>
    <row r="362">
      <c r="A362" s="76"/>
      <c r="B362" s="54"/>
      <c r="C362" s="54"/>
      <c r="D362" s="54"/>
      <c r="E362" s="54"/>
      <c r="F362" s="54"/>
      <c r="G362" s="54"/>
      <c r="H362" s="54"/>
      <c r="I362" s="54"/>
    </row>
    <row r="363">
      <c r="A363" s="76"/>
      <c r="B363" s="54"/>
      <c r="C363" s="54"/>
      <c r="D363" s="54"/>
      <c r="E363" s="54"/>
      <c r="F363" s="54"/>
      <c r="G363" s="54"/>
      <c r="H363" s="54"/>
      <c r="I363" s="54"/>
    </row>
    <row r="364">
      <c r="A364" s="76"/>
      <c r="B364" s="54"/>
      <c r="C364" s="54"/>
      <c r="D364" s="54"/>
      <c r="E364" s="54"/>
      <c r="F364" s="54"/>
      <c r="G364" s="54"/>
      <c r="H364" s="54"/>
      <c r="I364" s="54"/>
    </row>
    <row r="365">
      <c r="A365" s="76"/>
      <c r="B365" s="54"/>
      <c r="C365" s="54"/>
      <c r="D365" s="54"/>
      <c r="E365" s="54"/>
      <c r="F365" s="54"/>
      <c r="G365" s="54"/>
      <c r="H365" s="54"/>
      <c r="I365" s="54"/>
    </row>
    <row r="366">
      <c r="A366" s="76"/>
      <c r="B366" s="54"/>
      <c r="C366" s="54"/>
      <c r="D366" s="54"/>
      <c r="E366" s="54"/>
      <c r="F366" s="54"/>
      <c r="G366" s="54"/>
      <c r="H366" s="54"/>
      <c r="I366" s="54"/>
    </row>
    <row r="367">
      <c r="A367" s="76"/>
      <c r="B367" s="54"/>
      <c r="C367" s="54"/>
      <c r="D367" s="54"/>
      <c r="E367" s="54"/>
      <c r="F367" s="54"/>
      <c r="G367" s="54"/>
      <c r="H367" s="54"/>
      <c r="I367" s="54"/>
    </row>
    <row r="368">
      <c r="A368" s="76"/>
      <c r="B368" s="54"/>
      <c r="C368" s="54"/>
      <c r="D368" s="54"/>
      <c r="E368" s="54"/>
      <c r="F368" s="54"/>
      <c r="G368" s="54"/>
      <c r="H368" s="54"/>
      <c r="I368" s="54"/>
    </row>
    <row r="369">
      <c r="A369" s="76"/>
      <c r="B369" s="54"/>
      <c r="C369" s="54"/>
      <c r="D369" s="54"/>
      <c r="E369" s="54"/>
      <c r="F369" s="54"/>
      <c r="G369" s="54"/>
      <c r="H369" s="54"/>
      <c r="I369" s="54"/>
    </row>
    <row r="370">
      <c r="A370" s="76"/>
      <c r="B370" s="54"/>
      <c r="C370" s="54"/>
      <c r="D370" s="54"/>
      <c r="E370" s="54"/>
      <c r="F370" s="54"/>
      <c r="G370" s="54"/>
      <c r="H370" s="54"/>
      <c r="I370" s="54"/>
    </row>
    <row r="371">
      <c r="A371" s="76"/>
      <c r="B371" s="54"/>
      <c r="C371" s="54"/>
      <c r="D371" s="54"/>
      <c r="E371" s="54"/>
      <c r="F371" s="54"/>
      <c r="G371" s="54"/>
      <c r="H371" s="54"/>
      <c r="I371" s="54"/>
    </row>
    <row r="372">
      <c r="A372" s="76"/>
      <c r="B372" s="54"/>
      <c r="C372" s="54"/>
      <c r="D372" s="54"/>
      <c r="E372" s="54"/>
      <c r="F372" s="54"/>
      <c r="G372" s="54"/>
      <c r="H372" s="54"/>
      <c r="I372" s="54"/>
    </row>
    <row r="373">
      <c r="A373" s="76"/>
      <c r="B373" s="54"/>
      <c r="C373" s="54"/>
      <c r="D373" s="54"/>
      <c r="E373" s="54"/>
      <c r="F373" s="54"/>
      <c r="G373" s="54"/>
      <c r="H373" s="54"/>
      <c r="I373" s="54"/>
    </row>
    <row r="374">
      <c r="A374" s="76"/>
      <c r="B374" s="54"/>
      <c r="C374" s="54"/>
      <c r="D374" s="54"/>
      <c r="E374" s="54"/>
      <c r="F374" s="54"/>
      <c r="G374" s="54"/>
      <c r="H374" s="54"/>
      <c r="I374" s="54"/>
    </row>
    <row r="375">
      <c r="A375" s="76"/>
      <c r="B375" s="54"/>
      <c r="C375" s="54"/>
      <c r="D375" s="54"/>
      <c r="E375" s="54"/>
      <c r="F375" s="54"/>
      <c r="G375" s="54"/>
      <c r="H375" s="54"/>
      <c r="I375" s="54"/>
    </row>
    <row r="376">
      <c r="A376" s="76"/>
      <c r="B376" s="54"/>
      <c r="C376" s="54"/>
      <c r="D376" s="54"/>
      <c r="E376" s="54"/>
      <c r="F376" s="54"/>
      <c r="G376" s="54"/>
      <c r="H376" s="54"/>
      <c r="I376" s="54"/>
    </row>
    <row r="377">
      <c r="A377" s="76"/>
      <c r="B377" s="54"/>
      <c r="C377" s="54"/>
      <c r="D377" s="54"/>
      <c r="E377" s="54"/>
      <c r="F377" s="54"/>
      <c r="G377" s="54"/>
      <c r="H377" s="54"/>
      <c r="I377" s="54"/>
    </row>
    <row r="378">
      <c r="A378" s="76"/>
      <c r="B378" s="54"/>
      <c r="C378" s="54"/>
      <c r="D378" s="54"/>
      <c r="E378" s="54"/>
      <c r="F378" s="54"/>
      <c r="G378" s="54"/>
      <c r="H378" s="54"/>
      <c r="I378" s="54"/>
    </row>
    <row r="379">
      <c r="A379" s="76"/>
      <c r="B379" s="54"/>
      <c r="C379" s="54"/>
      <c r="D379" s="54"/>
      <c r="E379" s="54"/>
      <c r="F379" s="54"/>
      <c r="G379" s="54"/>
      <c r="H379" s="54"/>
      <c r="I379" s="54"/>
    </row>
    <row r="380">
      <c r="A380" s="76"/>
      <c r="B380" s="54"/>
      <c r="C380" s="54"/>
      <c r="D380" s="54"/>
      <c r="E380" s="54"/>
      <c r="F380" s="54"/>
      <c r="G380" s="54"/>
      <c r="H380" s="54"/>
      <c r="I380" s="54"/>
    </row>
    <row r="381">
      <c r="A381" s="76"/>
      <c r="B381" s="54"/>
      <c r="C381" s="54"/>
      <c r="D381" s="54"/>
      <c r="E381" s="54"/>
      <c r="F381" s="54"/>
      <c r="G381" s="54"/>
      <c r="H381" s="54"/>
      <c r="I381" s="54"/>
    </row>
    <row r="382">
      <c r="A382" s="76"/>
      <c r="B382" s="54"/>
      <c r="C382" s="54"/>
      <c r="D382" s="54"/>
      <c r="E382" s="54"/>
      <c r="F382" s="54"/>
      <c r="G382" s="54"/>
      <c r="H382" s="54"/>
      <c r="I382" s="54"/>
    </row>
    <row r="383">
      <c r="A383" s="76"/>
      <c r="B383" s="54"/>
      <c r="C383" s="54"/>
      <c r="D383" s="54"/>
      <c r="E383" s="54"/>
      <c r="F383" s="54"/>
      <c r="G383" s="54"/>
      <c r="H383" s="54"/>
      <c r="I383" s="54"/>
    </row>
    <row r="384">
      <c r="A384" s="76"/>
      <c r="B384" s="54"/>
      <c r="C384" s="54"/>
      <c r="D384" s="54"/>
      <c r="E384" s="54"/>
      <c r="F384" s="54"/>
      <c r="G384" s="54"/>
      <c r="H384" s="54"/>
      <c r="I384" s="54"/>
    </row>
    <row r="385">
      <c r="A385" s="76"/>
      <c r="B385" s="54"/>
      <c r="C385" s="54"/>
      <c r="D385" s="54"/>
      <c r="E385" s="54"/>
      <c r="F385" s="54"/>
      <c r="G385" s="54"/>
      <c r="H385" s="54"/>
      <c r="I385" s="54"/>
    </row>
    <row r="386">
      <c r="A386" s="76"/>
      <c r="B386" s="54"/>
      <c r="C386" s="54"/>
      <c r="D386" s="54"/>
      <c r="E386" s="54"/>
      <c r="F386" s="54"/>
      <c r="G386" s="54"/>
      <c r="H386" s="54"/>
      <c r="I386" s="54"/>
    </row>
    <row r="387">
      <c r="A387" s="76"/>
      <c r="B387" s="54"/>
      <c r="C387" s="54"/>
      <c r="D387" s="54"/>
      <c r="E387" s="54"/>
      <c r="F387" s="54"/>
      <c r="G387" s="54"/>
      <c r="H387" s="54"/>
      <c r="I387" s="54"/>
    </row>
    <row r="388">
      <c r="A388" s="76"/>
      <c r="B388" s="54"/>
      <c r="C388" s="54"/>
      <c r="D388" s="54"/>
      <c r="E388" s="54"/>
      <c r="F388" s="54"/>
      <c r="G388" s="54"/>
      <c r="H388" s="54"/>
      <c r="I388" s="54"/>
    </row>
    <row r="389">
      <c r="A389" s="76"/>
      <c r="B389" s="54"/>
      <c r="C389" s="54"/>
      <c r="D389" s="54"/>
      <c r="E389" s="54"/>
      <c r="F389" s="54"/>
      <c r="G389" s="54"/>
      <c r="H389" s="54"/>
      <c r="I389" s="54"/>
    </row>
    <row r="390">
      <c r="A390" s="76"/>
      <c r="B390" s="54"/>
      <c r="C390" s="54"/>
      <c r="D390" s="54"/>
      <c r="E390" s="54"/>
      <c r="F390" s="54"/>
      <c r="G390" s="54"/>
      <c r="H390" s="54"/>
      <c r="I390" s="54"/>
    </row>
    <row r="391">
      <c r="A391" s="76"/>
      <c r="B391" s="54"/>
      <c r="C391" s="54"/>
      <c r="D391" s="54"/>
      <c r="E391" s="54"/>
      <c r="F391" s="54"/>
      <c r="G391" s="54"/>
      <c r="H391" s="54"/>
      <c r="I391" s="54"/>
    </row>
    <row r="392">
      <c r="A392" s="76"/>
      <c r="B392" s="54"/>
      <c r="C392" s="54"/>
      <c r="D392" s="54"/>
      <c r="E392" s="54"/>
      <c r="F392" s="54"/>
      <c r="G392" s="54"/>
      <c r="H392" s="54"/>
      <c r="I392" s="54"/>
    </row>
    <row r="393">
      <c r="A393" s="76"/>
      <c r="B393" s="54"/>
      <c r="C393" s="54"/>
      <c r="D393" s="54"/>
      <c r="E393" s="54"/>
      <c r="F393" s="54"/>
      <c r="G393" s="54"/>
      <c r="H393" s="54"/>
      <c r="I393" s="54"/>
    </row>
    <row r="394">
      <c r="A394" s="76"/>
      <c r="B394" s="54"/>
      <c r="C394" s="54"/>
      <c r="D394" s="54"/>
      <c r="E394" s="54"/>
      <c r="F394" s="54"/>
      <c r="G394" s="54"/>
      <c r="H394" s="54"/>
      <c r="I394" s="54"/>
    </row>
    <row r="395">
      <c r="A395" s="76"/>
      <c r="B395" s="54"/>
      <c r="C395" s="54"/>
      <c r="D395" s="54"/>
      <c r="E395" s="54"/>
      <c r="F395" s="54"/>
      <c r="G395" s="54"/>
      <c r="H395" s="54"/>
      <c r="I395" s="54"/>
    </row>
    <row r="396">
      <c r="A396" s="76"/>
      <c r="B396" s="54"/>
      <c r="C396" s="54"/>
      <c r="D396" s="54"/>
      <c r="E396" s="54"/>
      <c r="F396" s="54"/>
      <c r="G396" s="54"/>
      <c r="H396" s="54"/>
      <c r="I396" s="54"/>
    </row>
    <row r="397">
      <c r="A397" s="76"/>
      <c r="B397" s="54"/>
      <c r="C397" s="54"/>
      <c r="D397" s="54"/>
      <c r="E397" s="54"/>
      <c r="F397" s="54"/>
      <c r="G397" s="54"/>
      <c r="H397" s="54"/>
      <c r="I397" s="54"/>
    </row>
    <row r="398">
      <c r="A398" s="76"/>
      <c r="B398" s="54"/>
      <c r="C398" s="54"/>
      <c r="D398" s="54"/>
      <c r="E398" s="54"/>
      <c r="F398" s="54"/>
      <c r="G398" s="54"/>
      <c r="H398" s="54"/>
      <c r="I398" s="54"/>
    </row>
    <row r="399">
      <c r="A399" s="76"/>
      <c r="B399" s="54"/>
      <c r="C399" s="54"/>
      <c r="D399" s="54"/>
      <c r="E399" s="54"/>
      <c r="F399" s="54"/>
      <c r="G399" s="54"/>
      <c r="H399" s="54"/>
      <c r="I399" s="54"/>
    </row>
    <row r="400">
      <c r="A400" s="76"/>
      <c r="B400" s="54"/>
      <c r="C400" s="54"/>
      <c r="D400" s="54"/>
      <c r="E400" s="54"/>
      <c r="F400" s="54"/>
      <c r="G400" s="54"/>
      <c r="H400" s="54"/>
      <c r="I400" s="54"/>
    </row>
    <row r="401">
      <c r="A401" s="76"/>
      <c r="B401" s="54"/>
      <c r="C401" s="54"/>
      <c r="D401" s="54"/>
      <c r="E401" s="54"/>
      <c r="F401" s="54"/>
      <c r="G401" s="54"/>
      <c r="H401" s="54"/>
      <c r="I401" s="54"/>
    </row>
    <row r="402">
      <c r="A402" s="76"/>
      <c r="B402" s="54"/>
      <c r="C402" s="54"/>
      <c r="D402" s="54"/>
      <c r="E402" s="54"/>
      <c r="F402" s="54"/>
      <c r="G402" s="54"/>
      <c r="H402" s="54"/>
      <c r="I402" s="54"/>
    </row>
    <row r="403">
      <c r="A403" s="76"/>
      <c r="B403" s="54"/>
      <c r="C403" s="54"/>
      <c r="D403" s="54"/>
      <c r="E403" s="54"/>
      <c r="F403" s="54"/>
      <c r="G403" s="54"/>
      <c r="H403" s="54"/>
      <c r="I403" s="54"/>
    </row>
    <row r="404">
      <c r="A404" s="76"/>
      <c r="B404" s="54"/>
      <c r="C404" s="54"/>
      <c r="D404" s="54"/>
      <c r="E404" s="54"/>
      <c r="F404" s="54"/>
      <c r="G404" s="54"/>
      <c r="H404" s="54"/>
      <c r="I404" s="54"/>
    </row>
    <row r="405">
      <c r="A405" s="76"/>
      <c r="B405" s="54"/>
      <c r="C405" s="54"/>
      <c r="D405" s="54"/>
      <c r="E405" s="54"/>
      <c r="F405" s="54"/>
      <c r="G405" s="54"/>
      <c r="H405" s="54"/>
      <c r="I405" s="54"/>
    </row>
    <row r="406">
      <c r="A406" s="76"/>
      <c r="B406" s="54"/>
      <c r="C406" s="54"/>
      <c r="D406" s="54"/>
      <c r="E406" s="54"/>
      <c r="F406" s="54"/>
      <c r="G406" s="54"/>
      <c r="H406" s="54"/>
      <c r="I406" s="54"/>
    </row>
    <row r="407">
      <c r="A407" s="76"/>
      <c r="B407" s="54"/>
      <c r="C407" s="54"/>
      <c r="D407" s="54"/>
      <c r="E407" s="54"/>
      <c r="F407" s="54"/>
      <c r="G407" s="54"/>
      <c r="H407" s="54"/>
      <c r="I407" s="54"/>
    </row>
    <row r="408">
      <c r="A408" s="76"/>
      <c r="B408" s="54"/>
      <c r="C408" s="54"/>
      <c r="D408" s="54"/>
      <c r="E408" s="54"/>
      <c r="F408" s="54"/>
      <c r="G408" s="54"/>
      <c r="H408" s="54"/>
      <c r="I408" s="54"/>
    </row>
    <row r="409">
      <c r="A409" s="76"/>
      <c r="B409" s="54"/>
      <c r="C409" s="54"/>
      <c r="D409" s="54"/>
      <c r="E409" s="54"/>
      <c r="F409" s="54"/>
      <c r="G409" s="54"/>
      <c r="H409" s="54"/>
      <c r="I409" s="54"/>
    </row>
    <row r="410">
      <c r="A410" s="76"/>
      <c r="B410" s="54"/>
      <c r="C410" s="54"/>
      <c r="D410" s="54"/>
      <c r="E410" s="54"/>
      <c r="F410" s="54"/>
      <c r="G410" s="54"/>
      <c r="H410" s="54"/>
      <c r="I410" s="54"/>
    </row>
    <row r="411">
      <c r="A411" s="76"/>
      <c r="B411" s="54"/>
      <c r="C411" s="54"/>
      <c r="D411" s="54"/>
      <c r="E411" s="54"/>
      <c r="F411" s="54"/>
      <c r="G411" s="54"/>
      <c r="H411" s="54"/>
      <c r="I411" s="54"/>
    </row>
    <row r="412">
      <c r="A412" s="76"/>
      <c r="B412" s="54"/>
      <c r="C412" s="54"/>
      <c r="D412" s="54"/>
      <c r="E412" s="54"/>
      <c r="F412" s="54"/>
      <c r="G412" s="54"/>
      <c r="H412" s="54"/>
      <c r="I412" s="54"/>
    </row>
    <row r="413">
      <c r="A413" s="76"/>
      <c r="B413" s="54"/>
      <c r="C413" s="54"/>
      <c r="D413" s="54"/>
      <c r="E413" s="54"/>
      <c r="F413" s="54"/>
      <c r="G413" s="54"/>
      <c r="H413" s="54"/>
      <c r="I413" s="54"/>
    </row>
    <row r="414">
      <c r="A414" s="76"/>
      <c r="B414" s="54"/>
      <c r="C414" s="54"/>
      <c r="D414" s="54"/>
      <c r="E414" s="54"/>
      <c r="F414" s="54"/>
      <c r="G414" s="54"/>
      <c r="H414" s="54"/>
      <c r="I414" s="54"/>
    </row>
    <row r="415">
      <c r="A415" s="76"/>
      <c r="B415" s="54"/>
      <c r="C415" s="54"/>
      <c r="D415" s="54"/>
      <c r="E415" s="54"/>
      <c r="F415" s="54"/>
      <c r="G415" s="54"/>
      <c r="H415" s="54"/>
      <c r="I415" s="54"/>
    </row>
    <row r="416">
      <c r="A416" s="76"/>
      <c r="B416" s="54"/>
      <c r="C416" s="54"/>
      <c r="D416" s="54"/>
      <c r="E416" s="54"/>
      <c r="F416" s="54"/>
      <c r="G416" s="54"/>
      <c r="H416" s="54"/>
      <c r="I416" s="54"/>
    </row>
    <row r="417">
      <c r="A417" s="76"/>
      <c r="B417" s="54"/>
      <c r="C417" s="54"/>
      <c r="D417" s="54"/>
      <c r="E417" s="54"/>
      <c r="F417" s="54"/>
      <c r="G417" s="54"/>
      <c r="H417" s="54"/>
      <c r="I417" s="54"/>
    </row>
    <row r="418">
      <c r="A418" s="76"/>
      <c r="B418" s="54"/>
      <c r="C418" s="54"/>
      <c r="D418" s="54"/>
      <c r="E418" s="54"/>
      <c r="F418" s="54"/>
      <c r="G418" s="54"/>
      <c r="H418" s="54"/>
      <c r="I418" s="54"/>
    </row>
    <row r="419">
      <c r="A419" s="76"/>
      <c r="B419" s="54"/>
      <c r="C419" s="54"/>
      <c r="D419" s="54"/>
      <c r="E419" s="54"/>
      <c r="F419" s="54"/>
      <c r="G419" s="54"/>
      <c r="H419" s="54"/>
      <c r="I419" s="54"/>
    </row>
    <row r="420">
      <c r="A420" s="76"/>
      <c r="B420" s="54"/>
      <c r="C420" s="54"/>
      <c r="D420" s="54"/>
      <c r="E420" s="54"/>
      <c r="F420" s="54"/>
      <c r="G420" s="54"/>
      <c r="H420" s="54"/>
      <c r="I420" s="54"/>
    </row>
    <row r="421">
      <c r="A421" s="76"/>
      <c r="B421" s="54"/>
      <c r="C421" s="54"/>
      <c r="D421" s="54"/>
      <c r="E421" s="54"/>
      <c r="F421" s="54"/>
      <c r="G421" s="54"/>
      <c r="H421" s="54"/>
      <c r="I421" s="54"/>
    </row>
    <row r="422">
      <c r="A422" s="76"/>
      <c r="B422" s="54"/>
      <c r="C422" s="54"/>
      <c r="D422" s="54"/>
      <c r="E422" s="54"/>
      <c r="F422" s="54"/>
      <c r="G422" s="54"/>
      <c r="H422" s="54"/>
      <c r="I422" s="54"/>
    </row>
    <row r="423">
      <c r="A423" s="76"/>
      <c r="B423" s="54"/>
      <c r="C423" s="54"/>
      <c r="D423" s="54"/>
      <c r="E423" s="54"/>
      <c r="F423" s="54"/>
      <c r="G423" s="54"/>
      <c r="H423" s="54"/>
      <c r="I423" s="54"/>
    </row>
    <row r="424">
      <c r="A424" s="76"/>
      <c r="B424" s="54"/>
      <c r="C424" s="54"/>
      <c r="D424" s="54"/>
      <c r="E424" s="54"/>
      <c r="F424" s="54"/>
      <c r="G424" s="54"/>
      <c r="H424" s="54"/>
      <c r="I424" s="54"/>
    </row>
    <row r="425">
      <c r="A425" s="76"/>
      <c r="B425" s="54"/>
      <c r="C425" s="54"/>
      <c r="D425" s="54"/>
      <c r="E425" s="54"/>
      <c r="F425" s="54"/>
      <c r="G425" s="54"/>
      <c r="H425" s="54"/>
      <c r="I425" s="54"/>
    </row>
    <row r="426">
      <c r="A426" s="76"/>
      <c r="B426" s="54"/>
      <c r="C426" s="54"/>
      <c r="D426" s="54"/>
      <c r="E426" s="54"/>
      <c r="F426" s="54"/>
      <c r="G426" s="54"/>
      <c r="H426" s="54"/>
      <c r="I426" s="54"/>
    </row>
    <row r="427">
      <c r="A427" s="76"/>
      <c r="B427" s="54"/>
      <c r="C427" s="54"/>
      <c r="D427" s="54"/>
      <c r="E427" s="54"/>
      <c r="F427" s="54"/>
      <c r="G427" s="54"/>
      <c r="H427" s="54"/>
      <c r="I427" s="54"/>
    </row>
    <row r="428">
      <c r="A428" s="76"/>
      <c r="B428" s="54"/>
      <c r="C428" s="54"/>
      <c r="D428" s="54"/>
      <c r="E428" s="54"/>
      <c r="F428" s="54"/>
      <c r="G428" s="54"/>
      <c r="H428" s="54"/>
      <c r="I428" s="54"/>
    </row>
    <row r="429">
      <c r="A429" s="76"/>
      <c r="B429" s="54"/>
      <c r="C429" s="54"/>
      <c r="D429" s="54"/>
      <c r="E429" s="54"/>
      <c r="F429" s="54"/>
      <c r="G429" s="54"/>
      <c r="H429" s="54"/>
      <c r="I429" s="54"/>
    </row>
    <row r="430">
      <c r="A430" s="76"/>
      <c r="B430" s="54"/>
      <c r="C430" s="54"/>
      <c r="D430" s="54"/>
      <c r="E430" s="54"/>
      <c r="F430" s="54"/>
      <c r="G430" s="54"/>
      <c r="H430" s="54"/>
      <c r="I430" s="54"/>
    </row>
    <row r="431">
      <c r="A431" s="76"/>
      <c r="B431" s="54"/>
      <c r="C431" s="54"/>
      <c r="D431" s="54"/>
      <c r="E431" s="54"/>
      <c r="F431" s="54"/>
      <c r="G431" s="54"/>
      <c r="H431" s="54"/>
      <c r="I431" s="54"/>
    </row>
    <row r="432">
      <c r="A432" s="76"/>
      <c r="B432" s="54"/>
      <c r="C432" s="54"/>
      <c r="D432" s="54"/>
      <c r="E432" s="54"/>
      <c r="F432" s="54"/>
      <c r="G432" s="54"/>
      <c r="H432" s="54"/>
      <c r="I432" s="54"/>
    </row>
    <row r="433">
      <c r="A433" s="76"/>
      <c r="B433" s="54"/>
      <c r="C433" s="54"/>
      <c r="D433" s="54"/>
      <c r="E433" s="54"/>
      <c r="F433" s="54"/>
      <c r="G433" s="54"/>
      <c r="H433" s="54"/>
      <c r="I433" s="54"/>
    </row>
    <row r="434">
      <c r="A434" s="76"/>
      <c r="B434" s="54"/>
      <c r="C434" s="54"/>
      <c r="D434" s="54"/>
      <c r="E434" s="54"/>
      <c r="F434" s="54"/>
      <c r="G434" s="54"/>
      <c r="H434" s="54"/>
      <c r="I434" s="54"/>
    </row>
    <row r="435">
      <c r="A435" s="76"/>
      <c r="B435" s="54"/>
      <c r="C435" s="54"/>
      <c r="D435" s="54"/>
      <c r="E435" s="54"/>
      <c r="F435" s="54"/>
      <c r="G435" s="54"/>
      <c r="H435" s="54"/>
      <c r="I435" s="54"/>
    </row>
    <row r="436">
      <c r="A436" s="76"/>
      <c r="B436" s="54"/>
      <c r="C436" s="54"/>
      <c r="D436" s="54"/>
      <c r="E436" s="54"/>
      <c r="F436" s="54"/>
      <c r="G436" s="54"/>
      <c r="H436" s="54"/>
      <c r="I436" s="54"/>
    </row>
    <row r="437">
      <c r="A437" s="76"/>
      <c r="B437" s="54"/>
      <c r="C437" s="54"/>
      <c r="D437" s="54"/>
      <c r="E437" s="54"/>
      <c r="F437" s="54"/>
      <c r="G437" s="54"/>
      <c r="H437" s="54"/>
      <c r="I437" s="54"/>
    </row>
    <row r="438">
      <c r="A438" s="76"/>
      <c r="B438" s="54"/>
      <c r="C438" s="54"/>
      <c r="D438" s="54"/>
      <c r="E438" s="54"/>
      <c r="F438" s="54"/>
      <c r="G438" s="54"/>
      <c r="H438" s="54"/>
      <c r="I438" s="54"/>
    </row>
    <row r="439">
      <c r="A439" s="76"/>
      <c r="B439" s="54"/>
      <c r="C439" s="54"/>
      <c r="D439" s="54"/>
      <c r="E439" s="54"/>
      <c r="F439" s="54"/>
      <c r="G439" s="54"/>
      <c r="H439" s="54"/>
      <c r="I439" s="54"/>
    </row>
    <row r="440">
      <c r="A440" s="76"/>
      <c r="B440" s="54"/>
      <c r="C440" s="54"/>
      <c r="D440" s="54"/>
      <c r="E440" s="54"/>
      <c r="F440" s="54"/>
      <c r="G440" s="54"/>
      <c r="H440" s="54"/>
      <c r="I440" s="54"/>
    </row>
    <row r="441">
      <c r="A441" s="76"/>
      <c r="B441" s="54"/>
      <c r="C441" s="54"/>
      <c r="D441" s="54"/>
      <c r="E441" s="54"/>
      <c r="F441" s="54"/>
      <c r="G441" s="54"/>
      <c r="H441" s="54"/>
      <c r="I441" s="54"/>
    </row>
    <row r="442">
      <c r="A442" s="76"/>
      <c r="B442" s="54"/>
      <c r="C442" s="54"/>
      <c r="D442" s="54"/>
      <c r="E442" s="54"/>
      <c r="F442" s="54"/>
      <c r="G442" s="54"/>
      <c r="H442" s="54"/>
      <c r="I442" s="54"/>
    </row>
    <row r="443">
      <c r="A443" s="76"/>
      <c r="B443" s="54"/>
      <c r="C443" s="54"/>
      <c r="D443" s="54"/>
      <c r="E443" s="54"/>
      <c r="F443" s="54"/>
      <c r="G443" s="54"/>
      <c r="H443" s="54"/>
      <c r="I443" s="54"/>
    </row>
    <row r="444">
      <c r="A444" s="76"/>
      <c r="B444" s="54"/>
      <c r="C444" s="54"/>
      <c r="D444" s="54"/>
      <c r="E444" s="54"/>
      <c r="F444" s="54"/>
      <c r="G444" s="54"/>
      <c r="H444" s="54"/>
      <c r="I444" s="54"/>
    </row>
    <row r="445">
      <c r="A445" s="76"/>
      <c r="B445" s="54"/>
      <c r="C445" s="54"/>
      <c r="D445" s="54"/>
      <c r="E445" s="54"/>
      <c r="F445" s="54"/>
      <c r="G445" s="54"/>
      <c r="H445" s="54"/>
      <c r="I445" s="54"/>
    </row>
    <row r="446">
      <c r="A446" s="76"/>
      <c r="B446" s="54"/>
      <c r="C446" s="54"/>
      <c r="D446" s="54"/>
      <c r="E446" s="54"/>
      <c r="F446" s="54"/>
      <c r="G446" s="54"/>
      <c r="H446" s="54"/>
      <c r="I446" s="54"/>
    </row>
    <row r="447">
      <c r="A447" s="76"/>
      <c r="B447" s="54"/>
      <c r="C447" s="54"/>
      <c r="D447" s="54"/>
      <c r="E447" s="54"/>
      <c r="F447" s="54"/>
      <c r="G447" s="54"/>
      <c r="H447" s="54"/>
      <c r="I447" s="54"/>
    </row>
    <row r="448">
      <c r="A448" s="76"/>
      <c r="B448" s="54"/>
      <c r="C448" s="54"/>
      <c r="D448" s="54"/>
      <c r="E448" s="54"/>
      <c r="F448" s="54"/>
      <c r="G448" s="54"/>
      <c r="H448" s="54"/>
      <c r="I448" s="54"/>
    </row>
    <row r="449">
      <c r="A449" s="76"/>
      <c r="B449" s="54"/>
      <c r="C449" s="54"/>
      <c r="D449" s="54"/>
      <c r="E449" s="54"/>
      <c r="F449" s="54"/>
      <c r="G449" s="54"/>
      <c r="H449" s="54"/>
      <c r="I449" s="54"/>
    </row>
    <row r="450">
      <c r="A450" s="76"/>
      <c r="B450" s="54"/>
      <c r="C450" s="54"/>
      <c r="D450" s="54"/>
      <c r="E450" s="54"/>
      <c r="F450" s="54"/>
      <c r="G450" s="54"/>
      <c r="H450" s="54"/>
      <c r="I450" s="54"/>
    </row>
    <row r="451">
      <c r="A451" s="76"/>
      <c r="B451" s="54"/>
      <c r="C451" s="54"/>
      <c r="D451" s="54"/>
      <c r="E451" s="54"/>
      <c r="F451" s="54"/>
      <c r="G451" s="54"/>
      <c r="H451" s="54"/>
      <c r="I451" s="54"/>
    </row>
    <row r="452">
      <c r="A452" s="76"/>
      <c r="B452" s="54"/>
      <c r="C452" s="54"/>
      <c r="D452" s="54"/>
      <c r="E452" s="54"/>
      <c r="F452" s="54"/>
      <c r="G452" s="54"/>
      <c r="H452" s="54"/>
      <c r="I452" s="54"/>
    </row>
    <row r="453">
      <c r="A453" s="76"/>
      <c r="B453" s="54"/>
      <c r="C453" s="54"/>
      <c r="D453" s="54"/>
      <c r="E453" s="54"/>
      <c r="F453" s="54"/>
      <c r="G453" s="54"/>
      <c r="H453" s="54"/>
      <c r="I453" s="54"/>
    </row>
    <row r="454">
      <c r="A454" s="76"/>
      <c r="B454" s="54"/>
      <c r="C454" s="54"/>
      <c r="D454" s="54"/>
      <c r="E454" s="54"/>
      <c r="F454" s="54"/>
      <c r="G454" s="54"/>
      <c r="H454" s="54"/>
      <c r="I454" s="54"/>
    </row>
    <row r="455">
      <c r="A455" s="76"/>
      <c r="B455" s="54"/>
      <c r="C455" s="54"/>
      <c r="D455" s="54"/>
      <c r="E455" s="54"/>
      <c r="F455" s="54"/>
      <c r="G455" s="54"/>
      <c r="H455" s="54"/>
      <c r="I455" s="54"/>
    </row>
    <row r="456">
      <c r="A456" s="76"/>
      <c r="B456" s="54"/>
      <c r="C456" s="54"/>
      <c r="D456" s="54"/>
      <c r="E456" s="54"/>
      <c r="F456" s="54"/>
      <c r="G456" s="54"/>
      <c r="H456" s="54"/>
      <c r="I456" s="54"/>
    </row>
    <row r="457">
      <c r="A457" s="76"/>
      <c r="B457" s="54"/>
      <c r="C457" s="54"/>
      <c r="D457" s="54"/>
      <c r="E457" s="54"/>
      <c r="F457" s="54"/>
      <c r="G457" s="54"/>
      <c r="H457" s="54"/>
      <c r="I457" s="54"/>
    </row>
    <row r="458">
      <c r="A458" s="76"/>
      <c r="B458" s="54"/>
      <c r="C458" s="54"/>
      <c r="D458" s="54"/>
      <c r="E458" s="54"/>
      <c r="F458" s="54"/>
      <c r="G458" s="54"/>
      <c r="H458" s="54"/>
      <c r="I458" s="54"/>
    </row>
    <row r="459">
      <c r="A459" s="76"/>
      <c r="B459" s="54"/>
      <c r="C459" s="54"/>
      <c r="D459" s="54"/>
      <c r="E459" s="54"/>
      <c r="F459" s="54"/>
      <c r="G459" s="54"/>
      <c r="H459" s="54"/>
      <c r="I459" s="54"/>
    </row>
    <row r="460">
      <c r="A460" s="76"/>
      <c r="B460" s="54"/>
      <c r="C460" s="54"/>
      <c r="D460" s="54"/>
      <c r="E460" s="54"/>
      <c r="F460" s="54"/>
      <c r="G460" s="54"/>
      <c r="H460" s="54"/>
      <c r="I460" s="54"/>
    </row>
    <row r="461">
      <c r="A461" s="76"/>
      <c r="B461" s="54"/>
      <c r="C461" s="54"/>
      <c r="D461" s="54"/>
      <c r="E461" s="54"/>
      <c r="F461" s="54"/>
      <c r="G461" s="54"/>
      <c r="H461" s="54"/>
      <c r="I461" s="54"/>
    </row>
    <row r="462">
      <c r="A462" s="76"/>
      <c r="B462" s="54"/>
      <c r="C462" s="54"/>
      <c r="D462" s="54"/>
      <c r="E462" s="54"/>
      <c r="F462" s="54"/>
      <c r="G462" s="54"/>
      <c r="H462" s="54"/>
      <c r="I462" s="54"/>
    </row>
    <row r="463">
      <c r="A463" s="76"/>
      <c r="B463" s="54"/>
      <c r="C463" s="54"/>
      <c r="D463" s="54"/>
      <c r="E463" s="54"/>
      <c r="F463" s="54"/>
      <c r="G463" s="54"/>
      <c r="H463" s="54"/>
      <c r="I463" s="54"/>
    </row>
    <row r="464">
      <c r="A464" s="76"/>
      <c r="B464" s="54"/>
      <c r="C464" s="54"/>
      <c r="D464" s="54"/>
      <c r="E464" s="54"/>
      <c r="F464" s="54"/>
      <c r="G464" s="54"/>
      <c r="H464" s="54"/>
      <c r="I464" s="54"/>
    </row>
    <row r="465">
      <c r="A465" s="76"/>
      <c r="B465" s="54"/>
      <c r="C465" s="54"/>
      <c r="D465" s="54"/>
      <c r="E465" s="54"/>
      <c r="F465" s="54"/>
      <c r="G465" s="54"/>
      <c r="H465" s="54"/>
      <c r="I465" s="54"/>
    </row>
    <row r="466">
      <c r="A466" s="76"/>
      <c r="B466" s="54"/>
      <c r="C466" s="54"/>
      <c r="D466" s="54"/>
      <c r="E466" s="54"/>
      <c r="F466" s="54"/>
      <c r="G466" s="54"/>
      <c r="H466" s="54"/>
      <c r="I466" s="54"/>
    </row>
    <row r="467">
      <c r="A467" s="76"/>
      <c r="B467" s="54"/>
      <c r="C467" s="54"/>
      <c r="D467" s="54"/>
      <c r="E467" s="54"/>
      <c r="F467" s="54"/>
      <c r="G467" s="54"/>
      <c r="H467" s="54"/>
      <c r="I467" s="54"/>
    </row>
    <row r="468">
      <c r="A468" s="76"/>
      <c r="B468" s="54"/>
      <c r="C468" s="54"/>
      <c r="D468" s="54"/>
      <c r="E468" s="54"/>
      <c r="F468" s="54"/>
      <c r="G468" s="54"/>
      <c r="H468" s="54"/>
      <c r="I468" s="54"/>
    </row>
    <row r="469">
      <c r="A469" s="76"/>
      <c r="B469" s="54"/>
      <c r="C469" s="54"/>
      <c r="D469" s="54"/>
      <c r="E469" s="54"/>
      <c r="F469" s="54"/>
      <c r="G469" s="54"/>
      <c r="H469" s="54"/>
      <c r="I469" s="54"/>
    </row>
    <row r="470">
      <c r="A470" s="76"/>
      <c r="B470" s="54"/>
      <c r="C470" s="54"/>
      <c r="D470" s="54"/>
      <c r="E470" s="54"/>
      <c r="F470" s="54"/>
      <c r="G470" s="54"/>
      <c r="H470" s="54"/>
      <c r="I470" s="54"/>
    </row>
    <row r="471">
      <c r="A471" s="76"/>
      <c r="B471" s="54"/>
      <c r="C471" s="54"/>
      <c r="D471" s="54"/>
      <c r="E471" s="54"/>
      <c r="F471" s="54"/>
      <c r="G471" s="54"/>
      <c r="H471" s="54"/>
      <c r="I471" s="54"/>
    </row>
    <row r="472">
      <c r="A472" s="76"/>
      <c r="B472" s="54"/>
      <c r="C472" s="54"/>
      <c r="D472" s="54"/>
      <c r="E472" s="54"/>
      <c r="F472" s="54"/>
      <c r="G472" s="54"/>
      <c r="H472" s="54"/>
      <c r="I472" s="54"/>
    </row>
    <row r="473">
      <c r="A473" s="76"/>
      <c r="B473" s="54"/>
      <c r="C473" s="54"/>
      <c r="D473" s="54"/>
      <c r="E473" s="54"/>
      <c r="F473" s="54"/>
      <c r="G473" s="54"/>
      <c r="H473" s="54"/>
      <c r="I473" s="54"/>
    </row>
    <row r="474">
      <c r="A474" s="76"/>
      <c r="B474" s="54"/>
      <c r="C474" s="54"/>
      <c r="D474" s="54"/>
      <c r="E474" s="54"/>
      <c r="F474" s="54"/>
      <c r="G474" s="54"/>
      <c r="H474" s="54"/>
      <c r="I474" s="54"/>
    </row>
    <row r="475">
      <c r="A475" s="76"/>
      <c r="B475" s="54"/>
      <c r="C475" s="54"/>
      <c r="D475" s="54"/>
      <c r="E475" s="54"/>
      <c r="F475" s="54"/>
      <c r="G475" s="54"/>
      <c r="H475" s="54"/>
      <c r="I475" s="54"/>
    </row>
    <row r="476">
      <c r="A476" s="76"/>
      <c r="B476" s="54"/>
      <c r="C476" s="54"/>
      <c r="D476" s="54"/>
      <c r="E476" s="54"/>
      <c r="F476" s="54"/>
      <c r="G476" s="54"/>
      <c r="H476" s="54"/>
      <c r="I476" s="54"/>
    </row>
    <row r="477">
      <c r="A477" s="76"/>
      <c r="B477" s="54"/>
      <c r="C477" s="54"/>
      <c r="D477" s="54"/>
      <c r="E477" s="54"/>
      <c r="F477" s="54"/>
      <c r="G477" s="54"/>
      <c r="H477" s="54"/>
      <c r="I477" s="54"/>
    </row>
    <row r="478">
      <c r="A478" s="76"/>
      <c r="B478" s="54"/>
      <c r="C478" s="54"/>
      <c r="D478" s="54"/>
      <c r="E478" s="54"/>
      <c r="F478" s="54"/>
      <c r="G478" s="54"/>
      <c r="H478" s="54"/>
      <c r="I478" s="54"/>
    </row>
    <row r="479">
      <c r="A479" s="76"/>
      <c r="B479" s="54"/>
      <c r="C479" s="54"/>
      <c r="D479" s="54"/>
      <c r="E479" s="54"/>
      <c r="F479" s="54"/>
      <c r="G479" s="54"/>
      <c r="H479" s="54"/>
      <c r="I479" s="54"/>
    </row>
    <row r="480">
      <c r="A480" s="76"/>
      <c r="B480" s="54"/>
      <c r="C480" s="54"/>
      <c r="D480" s="54"/>
      <c r="E480" s="54"/>
      <c r="F480" s="54"/>
      <c r="G480" s="54"/>
      <c r="H480" s="54"/>
      <c r="I480" s="54"/>
    </row>
    <row r="481">
      <c r="A481" s="76"/>
      <c r="B481" s="54"/>
      <c r="C481" s="54"/>
      <c r="D481" s="54"/>
      <c r="E481" s="54"/>
      <c r="F481" s="54"/>
      <c r="G481" s="54"/>
      <c r="H481" s="54"/>
      <c r="I481" s="54"/>
    </row>
    <row r="482">
      <c r="A482" s="76"/>
      <c r="B482" s="54"/>
      <c r="C482" s="54"/>
      <c r="D482" s="54"/>
      <c r="E482" s="54"/>
      <c r="F482" s="54"/>
      <c r="G482" s="54"/>
      <c r="H482" s="54"/>
      <c r="I482" s="54"/>
    </row>
    <row r="483">
      <c r="A483" s="76"/>
      <c r="B483" s="54"/>
      <c r="C483" s="54"/>
      <c r="D483" s="54"/>
      <c r="E483" s="54"/>
      <c r="F483" s="54"/>
      <c r="G483" s="54"/>
      <c r="H483" s="54"/>
      <c r="I483" s="54"/>
    </row>
    <row r="484">
      <c r="A484" s="76"/>
      <c r="B484" s="54"/>
      <c r="C484" s="54"/>
      <c r="D484" s="54"/>
      <c r="E484" s="54"/>
      <c r="F484" s="54"/>
      <c r="G484" s="54"/>
      <c r="H484" s="54"/>
      <c r="I484" s="54"/>
    </row>
    <row r="485">
      <c r="A485" s="76"/>
      <c r="B485" s="54"/>
      <c r="C485" s="54"/>
      <c r="D485" s="54"/>
      <c r="E485" s="54"/>
      <c r="F485" s="54"/>
      <c r="G485" s="54"/>
      <c r="H485" s="54"/>
      <c r="I485" s="54"/>
    </row>
    <row r="486">
      <c r="A486" s="76"/>
      <c r="B486" s="54"/>
      <c r="C486" s="54"/>
      <c r="D486" s="54"/>
      <c r="E486" s="54"/>
      <c r="F486" s="54"/>
      <c r="G486" s="54"/>
      <c r="H486" s="54"/>
      <c r="I486" s="54"/>
    </row>
    <row r="487">
      <c r="A487" s="76"/>
      <c r="B487" s="54"/>
      <c r="C487" s="54"/>
      <c r="D487" s="54"/>
      <c r="E487" s="54"/>
      <c r="F487" s="54"/>
      <c r="G487" s="54"/>
      <c r="H487" s="54"/>
      <c r="I487" s="54"/>
    </row>
    <row r="488">
      <c r="A488" s="76"/>
      <c r="B488" s="54"/>
      <c r="C488" s="54"/>
      <c r="D488" s="54"/>
      <c r="E488" s="54"/>
      <c r="F488" s="54"/>
      <c r="G488" s="54"/>
      <c r="H488" s="54"/>
      <c r="I488" s="54"/>
    </row>
    <row r="489">
      <c r="A489" s="76"/>
      <c r="B489" s="54"/>
      <c r="C489" s="54"/>
      <c r="D489" s="54"/>
      <c r="E489" s="54"/>
      <c r="F489" s="54"/>
      <c r="G489" s="54"/>
      <c r="H489" s="54"/>
      <c r="I489" s="54"/>
    </row>
    <row r="490">
      <c r="A490" s="76"/>
      <c r="B490" s="54"/>
      <c r="C490" s="54"/>
      <c r="D490" s="54"/>
      <c r="E490" s="54"/>
      <c r="F490" s="54"/>
      <c r="G490" s="54"/>
      <c r="H490" s="54"/>
      <c r="I490" s="54"/>
    </row>
    <row r="491">
      <c r="A491" s="76"/>
      <c r="B491" s="54"/>
      <c r="C491" s="54"/>
      <c r="D491" s="54"/>
      <c r="E491" s="54"/>
      <c r="F491" s="54"/>
      <c r="G491" s="54"/>
      <c r="H491" s="54"/>
      <c r="I491" s="54"/>
    </row>
    <row r="492">
      <c r="A492" s="76"/>
      <c r="B492" s="54"/>
      <c r="C492" s="54"/>
      <c r="D492" s="54"/>
      <c r="E492" s="54"/>
      <c r="F492" s="54"/>
      <c r="G492" s="54"/>
      <c r="H492" s="54"/>
      <c r="I492" s="54"/>
    </row>
    <row r="493">
      <c r="A493" s="76"/>
      <c r="B493" s="54"/>
      <c r="C493" s="54"/>
      <c r="D493" s="54"/>
      <c r="E493" s="54"/>
      <c r="F493" s="54"/>
      <c r="G493" s="54"/>
      <c r="H493" s="54"/>
      <c r="I493" s="54"/>
    </row>
    <row r="494">
      <c r="A494" s="76"/>
      <c r="B494" s="54"/>
      <c r="C494" s="54"/>
      <c r="D494" s="54"/>
      <c r="E494" s="54"/>
      <c r="F494" s="54"/>
      <c r="G494" s="54"/>
      <c r="H494" s="54"/>
      <c r="I494" s="54"/>
    </row>
    <row r="495">
      <c r="A495" s="76"/>
      <c r="B495" s="54"/>
      <c r="C495" s="54"/>
      <c r="D495" s="54"/>
      <c r="E495" s="54"/>
      <c r="F495" s="54"/>
      <c r="G495" s="54"/>
      <c r="H495" s="54"/>
      <c r="I495" s="54"/>
    </row>
    <row r="496">
      <c r="A496" s="76"/>
      <c r="B496" s="54"/>
      <c r="C496" s="54"/>
      <c r="D496" s="54"/>
      <c r="E496" s="54"/>
      <c r="F496" s="54"/>
      <c r="G496" s="54"/>
      <c r="H496" s="54"/>
      <c r="I496" s="54"/>
    </row>
    <row r="497">
      <c r="A497" s="76"/>
      <c r="B497" s="54"/>
      <c r="C497" s="54"/>
      <c r="D497" s="54"/>
      <c r="E497" s="54"/>
      <c r="F497" s="54"/>
      <c r="G497" s="54"/>
      <c r="H497" s="54"/>
      <c r="I497" s="54"/>
    </row>
    <row r="498">
      <c r="A498" s="76"/>
      <c r="B498" s="54"/>
      <c r="C498" s="54"/>
      <c r="D498" s="54"/>
      <c r="E498" s="54"/>
      <c r="F498" s="54"/>
      <c r="G498" s="54"/>
      <c r="H498" s="54"/>
      <c r="I498" s="54"/>
    </row>
    <row r="499">
      <c r="A499" s="76"/>
      <c r="B499" s="54"/>
      <c r="C499" s="54"/>
      <c r="D499" s="54"/>
      <c r="E499" s="54"/>
      <c r="F499" s="54"/>
      <c r="G499" s="54"/>
      <c r="H499" s="54"/>
      <c r="I499" s="54"/>
    </row>
    <row r="500">
      <c r="A500" s="76"/>
      <c r="B500" s="54"/>
      <c r="C500" s="54"/>
      <c r="D500" s="54"/>
      <c r="E500" s="54"/>
      <c r="F500" s="54"/>
      <c r="G500" s="54"/>
      <c r="H500" s="54"/>
      <c r="I500" s="54"/>
    </row>
    <row r="501">
      <c r="A501" s="76"/>
      <c r="B501" s="54"/>
      <c r="C501" s="54"/>
      <c r="D501" s="54"/>
      <c r="E501" s="54"/>
      <c r="F501" s="54"/>
      <c r="G501" s="54"/>
      <c r="H501" s="54"/>
      <c r="I501" s="54"/>
    </row>
    <row r="502">
      <c r="A502" s="76"/>
      <c r="B502" s="54"/>
      <c r="C502" s="54"/>
      <c r="D502" s="54"/>
      <c r="E502" s="54"/>
      <c r="F502" s="54"/>
      <c r="G502" s="54"/>
      <c r="H502" s="54"/>
      <c r="I502" s="54"/>
    </row>
    <row r="503">
      <c r="A503" s="76"/>
      <c r="B503" s="54"/>
      <c r="C503" s="54"/>
      <c r="D503" s="54"/>
      <c r="E503" s="54"/>
      <c r="F503" s="54"/>
      <c r="G503" s="54"/>
      <c r="H503" s="54"/>
      <c r="I503" s="54"/>
    </row>
    <row r="504">
      <c r="A504" s="76"/>
      <c r="B504" s="54"/>
      <c r="C504" s="54"/>
      <c r="D504" s="54"/>
      <c r="E504" s="54"/>
      <c r="F504" s="54"/>
      <c r="G504" s="54"/>
      <c r="H504" s="54"/>
      <c r="I504" s="54"/>
    </row>
    <row r="505">
      <c r="A505" s="76"/>
      <c r="B505" s="54"/>
      <c r="C505" s="54"/>
      <c r="D505" s="54"/>
      <c r="E505" s="54"/>
      <c r="F505" s="54"/>
      <c r="G505" s="54"/>
      <c r="H505" s="54"/>
      <c r="I505" s="54"/>
    </row>
    <row r="506">
      <c r="A506" s="76"/>
      <c r="B506" s="54"/>
      <c r="C506" s="54"/>
      <c r="D506" s="54"/>
      <c r="E506" s="54"/>
      <c r="F506" s="54"/>
      <c r="G506" s="54"/>
      <c r="H506" s="54"/>
      <c r="I506" s="54"/>
    </row>
    <row r="507">
      <c r="A507" s="76"/>
      <c r="B507" s="54"/>
      <c r="C507" s="54"/>
      <c r="D507" s="54"/>
      <c r="E507" s="54"/>
      <c r="F507" s="54"/>
      <c r="G507" s="54"/>
      <c r="H507" s="54"/>
      <c r="I507" s="54"/>
    </row>
    <row r="508">
      <c r="A508" s="76"/>
      <c r="B508" s="54"/>
      <c r="C508" s="54"/>
      <c r="D508" s="54"/>
      <c r="E508" s="54"/>
      <c r="F508" s="54"/>
      <c r="G508" s="54"/>
      <c r="H508" s="54"/>
      <c r="I508" s="54"/>
    </row>
    <row r="509">
      <c r="A509" s="76"/>
      <c r="B509" s="54"/>
      <c r="C509" s="54"/>
      <c r="D509" s="54"/>
      <c r="E509" s="54"/>
      <c r="F509" s="54"/>
      <c r="G509" s="54"/>
      <c r="H509" s="54"/>
      <c r="I509" s="54"/>
    </row>
    <row r="510">
      <c r="A510" s="76"/>
      <c r="B510" s="54"/>
      <c r="C510" s="54"/>
      <c r="D510" s="54"/>
      <c r="E510" s="54"/>
      <c r="F510" s="54"/>
      <c r="G510" s="54"/>
      <c r="H510" s="54"/>
      <c r="I510" s="54"/>
    </row>
    <row r="511">
      <c r="A511" s="76"/>
      <c r="B511" s="54"/>
      <c r="C511" s="54"/>
      <c r="D511" s="54"/>
      <c r="E511" s="54"/>
      <c r="F511" s="54"/>
      <c r="G511" s="54"/>
      <c r="H511" s="54"/>
      <c r="I511" s="54"/>
    </row>
    <row r="512">
      <c r="A512" s="76"/>
      <c r="B512" s="54"/>
      <c r="C512" s="54"/>
      <c r="D512" s="54"/>
      <c r="E512" s="54"/>
      <c r="F512" s="54"/>
      <c r="G512" s="54"/>
      <c r="H512" s="54"/>
      <c r="I512" s="54"/>
    </row>
    <row r="513">
      <c r="A513" s="76"/>
      <c r="B513" s="54"/>
      <c r="C513" s="54"/>
      <c r="D513" s="54"/>
      <c r="E513" s="54"/>
      <c r="F513" s="54"/>
      <c r="G513" s="54"/>
      <c r="H513" s="54"/>
      <c r="I513" s="54"/>
    </row>
    <row r="514">
      <c r="A514" s="76"/>
      <c r="B514" s="54"/>
      <c r="C514" s="54"/>
      <c r="D514" s="54"/>
      <c r="E514" s="54"/>
      <c r="F514" s="54"/>
      <c r="G514" s="54"/>
      <c r="H514" s="54"/>
      <c r="I514" s="54"/>
    </row>
    <row r="515">
      <c r="A515" s="76"/>
      <c r="B515" s="54"/>
      <c r="C515" s="54"/>
      <c r="D515" s="54"/>
      <c r="E515" s="54"/>
      <c r="F515" s="54"/>
      <c r="G515" s="54"/>
      <c r="H515" s="54"/>
      <c r="I515" s="54"/>
    </row>
    <row r="516">
      <c r="A516" s="76"/>
      <c r="B516" s="54"/>
      <c r="C516" s="54"/>
      <c r="D516" s="54"/>
      <c r="E516" s="54"/>
      <c r="F516" s="54"/>
      <c r="G516" s="54"/>
      <c r="H516" s="54"/>
      <c r="I516" s="54"/>
    </row>
    <row r="517">
      <c r="A517" s="76"/>
      <c r="B517" s="54"/>
      <c r="C517" s="54"/>
      <c r="D517" s="54"/>
      <c r="E517" s="54"/>
      <c r="F517" s="54"/>
      <c r="G517" s="54"/>
      <c r="H517" s="54"/>
      <c r="I517" s="54"/>
    </row>
    <row r="518">
      <c r="A518" s="76"/>
      <c r="B518" s="54"/>
      <c r="C518" s="54"/>
      <c r="D518" s="54"/>
      <c r="E518" s="54"/>
      <c r="F518" s="54"/>
      <c r="G518" s="54"/>
      <c r="H518" s="54"/>
      <c r="I518" s="54"/>
    </row>
    <row r="519">
      <c r="A519" s="76"/>
      <c r="B519" s="54"/>
      <c r="C519" s="54"/>
      <c r="D519" s="54"/>
      <c r="E519" s="54"/>
      <c r="F519" s="54"/>
      <c r="G519" s="54"/>
      <c r="H519" s="54"/>
      <c r="I519" s="54"/>
    </row>
    <row r="520">
      <c r="A520" s="76"/>
      <c r="B520" s="54"/>
      <c r="C520" s="54"/>
      <c r="D520" s="54"/>
      <c r="E520" s="54"/>
      <c r="F520" s="54"/>
      <c r="G520" s="54"/>
      <c r="H520" s="54"/>
      <c r="I520" s="54"/>
    </row>
    <row r="521">
      <c r="A521" s="76"/>
      <c r="B521" s="54"/>
      <c r="C521" s="54"/>
      <c r="D521" s="54"/>
      <c r="E521" s="54"/>
      <c r="F521" s="54"/>
      <c r="G521" s="54"/>
      <c r="H521" s="54"/>
      <c r="I521" s="54"/>
    </row>
    <row r="522">
      <c r="A522" s="76"/>
      <c r="B522" s="54"/>
      <c r="C522" s="54"/>
      <c r="D522" s="54"/>
      <c r="E522" s="54"/>
      <c r="F522" s="54"/>
      <c r="G522" s="54"/>
      <c r="H522" s="54"/>
      <c r="I522" s="54"/>
    </row>
    <row r="523">
      <c r="A523" s="76"/>
      <c r="B523" s="54"/>
      <c r="C523" s="54"/>
      <c r="D523" s="54"/>
      <c r="E523" s="54"/>
      <c r="F523" s="54"/>
      <c r="G523" s="54"/>
      <c r="H523" s="54"/>
      <c r="I523" s="54"/>
    </row>
    <row r="524">
      <c r="A524" s="76"/>
      <c r="B524" s="54"/>
      <c r="C524" s="54"/>
      <c r="D524" s="54"/>
      <c r="E524" s="54"/>
      <c r="F524" s="54"/>
      <c r="G524" s="54"/>
      <c r="H524" s="54"/>
      <c r="I524" s="54"/>
    </row>
    <row r="525">
      <c r="A525" s="76"/>
      <c r="B525" s="54"/>
      <c r="C525" s="54"/>
      <c r="D525" s="54"/>
      <c r="E525" s="54"/>
      <c r="F525" s="54"/>
      <c r="G525" s="54"/>
      <c r="H525" s="54"/>
      <c r="I525" s="54"/>
    </row>
    <row r="526">
      <c r="A526" s="76"/>
      <c r="B526" s="54"/>
      <c r="C526" s="54"/>
      <c r="D526" s="54"/>
      <c r="E526" s="54"/>
      <c r="F526" s="54"/>
      <c r="G526" s="54"/>
      <c r="H526" s="54"/>
      <c r="I526" s="54"/>
    </row>
    <row r="527">
      <c r="A527" s="76"/>
      <c r="B527" s="54"/>
      <c r="C527" s="54"/>
      <c r="D527" s="54"/>
      <c r="E527" s="54"/>
      <c r="F527" s="54"/>
      <c r="G527" s="54"/>
      <c r="H527" s="54"/>
      <c r="I527" s="54"/>
    </row>
    <row r="528">
      <c r="A528" s="76"/>
      <c r="B528" s="54"/>
      <c r="C528" s="54"/>
      <c r="D528" s="54"/>
      <c r="E528" s="54"/>
      <c r="F528" s="54"/>
      <c r="G528" s="54"/>
      <c r="H528" s="54"/>
      <c r="I528" s="54"/>
    </row>
    <row r="529">
      <c r="A529" s="76"/>
      <c r="B529" s="54"/>
      <c r="C529" s="54"/>
      <c r="D529" s="54"/>
      <c r="E529" s="54"/>
      <c r="F529" s="54"/>
      <c r="G529" s="54"/>
      <c r="H529" s="54"/>
      <c r="I529" s="54"/>
    </row>
    <row r="530">
      <c r="A530" s="76"/>
      <c r="B530" s="54"/>
      <c r="C530" s="54"/>
      <c r="D530" s="54"/>
      <c r="E530" s="54"/>
      <c r="F530" s="54"/>
      <c r="G530" s="54"/>
      <c r="H530" s="54"/>
      <c r="I530" s="54"/>
    </row>
    <row r="531">
      <c r="A531" s="76"/>
      <c r="B531" s="54"/>
      <c r="C531" s="54"/>
      <c r="D531" s="54"/>
      <c r="E531" s="54"/>
      <c r="F531" s="54"/>
      <c r="G531" s="54"/>
      <c r="H531" s="54"/>
      <c r="I531" s="54"/>
    </row>
    <row r="532">
      <c r="A532" s="76"/>
      <c r="B532" s="54"/>
      <c r="C532" s="54"/>
      <c r="D532" s="54"/>
      <c r="E532" s="54"/>
      <c r="F532" s="54"/>
      <c r="G532" s="54"/>
      <c r="H532" s="54"/>
      <c r="I532" s="54"/>
    </row>
    <row r="533">
      <c r="A533" s="76"/>
      <c r="B533" s="54"/>
      <c r="C533" s="54"/>
      <c r="D533" s="54"/>
      <c r="E533" s="54"/>
      <c r="F533" s="54"/>
      <c r="G533" s="54"/>
      <c r="H533" s="54"/>
      <c r="I533" s="54"/>
    </row>
    <row r="534">
      <c r="A534" s="76"/>
      <c r="B534" s="54"/>
      <c r="C534" s="54"/>
      <c r="D534" s="54"/>
      <c r="E534" s="54"/>
      <c r="F534" s="54"/>
      <c r="G534" s="54"/>
      <c r="H534" s="54"/>
      <c r="I534" s="54"/>
    </row>
    <row r="535">
      <c r="A535" s="76"/>
      <c r="B535" s="54"/>
      <c r="C535" s="54"/>
      <c r="D535" s="54"/>
      <c r="E535" s="54"/>
      <c r="F535" s="54"/>
      <c r="G535" s="54"/>
      <c r="H535" s="54"/>
      <c r="I535" s="54"/>
    </row>
    <row r="536">
      <c r="A536" s="76"/>
      <c r="B536" s="54"/>
      <c r="C536" s="54"/>
      <c r="D536" s="54"/>
      <c r="E536" s="54"/>
      <c r="F536" s="54"/>
      <c r="G536" s="54"/>
      <c r="H536" s="54"/>
      <c r="I536" s="54"/>
    </row>
    <row r="537">
      <c r="A537" s="76"/>
      <c r="B537" s="54"/>
      <c r="C537" s="54"/>
      <c r="D537" s="54"/>
      <c r="E537" s="54"/>
      <c r="F537" s="54"/>
      <c r="G537" s="54"/>
      <c r="H537" s="54"/>
      <c r="I537" s="54"/>
    </row>
    <row r="538">
      <c r="A538" s="76"/>
      <c r="B538" s="54"/>
      <c r="C538" s="54"/>
      <c r="D538" s="54"/>
      <c r="E538" s="54"/>
      <c r="F538" s="54"/>
      <c r="G538" s="54"/>
      <c r="H538" s="54"/>
      <c r="I538" s="54"/>
    </row>
    <row r="539">
      <c r="A539" s="76"/>
      <c r="B539" s="54"/>
      <c r="C539" s="54"/>
      <c r="D539" s="54"/>
      <c r="E539" s="54"/>
      <c r="F539" s="54"/>
      <c r="G539" s="54"/>
      <c r="H539" s="54"/>
      <c r="I539" s="54"/>
    </row>
    <row r="540">
      <c r="A540" s="76"/>
      <c r="B540" s="54"/>
      <c r="C540" s="54"/>
      <c r="D540" s="54"/>
      <c r="E540" s="54"/>
      <c r="F540" s="54"/>
      <c r="G540" s="54"/>
      <c r="H540" s="54"/>
      <c r="I540" s="54"/>
    </row>
    <row r="541">
      <c r="A541" s="76"/>
      <c r="B541" s="54"/>
      <c r="C541" s="54"/>
      <c r="D541" s="54"/>
      <c r="E541" s="54"/>
      <c r="F541" s="54"/>
      <c r="G541" s="54"/>
      <c r="H541" s="54"/>
      <c r="I541" s="54"/>
    </row>
    <row r="542">
      <c r="A542" s="76"/>
      <c r="B542" s="54"/>
      <c r="C542" s="54"/>
      <c r="D542" s="54"/>
      <c r="E542" s="54"/>
      <c r="F542" s="54"/>
      <c r="G542" s="54"/>
      <c r="H542" s="54"/>
      <c r="I542" s="54"/>
    </row>
    <row r="543">
      <c r="A543" s="76"/>
      <c r="B543" s="54"/>
      <c r="C543" s="54"/>
      <c r="D543" s="54"/>
      <c r="E543" s="54"/>
      <c r="F543" s="54"/>
      <c r="G543" s="54"/>
      <c r="H543" s="54"/>
      <c r="I543" s="54"/>
    </row>
    <row r="544">
      <c r="A544" s="76"/>
      <c r="B544" s="54"/>
      <c r="C544" s="54"/>
      <c r="D544" s="54"/>
      <c r="E544" s="54"/>
      <c r="F544" s="54"/>
      <c r="G544" s="54"/>
      <c r="H544" s="54"/>
      <c r="I544" s="54"/>
    </row>
    <row r="545">
      <c r="A545" s="76"/>
      <c r="B545" s="54"/>
      <c r="C545" s="54"/>
      <c r="D545" s="54"/>
      <c r="E545" s="54"/>
      <c r="F545" s="54"/>
      <c r="G545" s="54"/>
      <c r="H545" s="54"/>
      <c r="I545" s="54"/>
    </row>
    <row r="546">
      <c r="A546" s="76"/>
      <c r="B546" s="54"/>
      <c r="C546" s="54"/>
      <c r="D546" s="54"/>
      <c r="E546" s="54"/>
      <c r="F546" s="54"/>
      <c r="G546" s="54"/>
      <c r="H546" s="54"/>
      <c r="I546" s="54"/>
    </row>
    <row r="547">
      <c r="A547" s="76"/>
      <c r="B547" s="54"/>
      <c r="C547" s="54"/>
      <c r="D547" s="54"/>
      <c r="E547" s="54"/>
      <c r="F547" s="54"/>
      <c r="G547" s="54"/>
      <c r="H547" s="54"/>
      <c r="I547" s="54"/>
    </row>
    <row r="548">
      <c r="A548" s="76"/>
      <c r="B548" s="54"/>
      <c r="C548" s="54"/>
      <c r="D548" s="54"/>
      <c r="E548" s="54"/>
      <c r="F548" s="54"/>
      <c r="G548" s="54"/>
      <c r="H548" s="54"/>
      <c r="I548" s="54"/>
    </row>
    <row r="549">
      <c r="A549" s="76"/>
      <c r="B549" s="54"/>
      <c r="C549" s="54"/>
      <c r="D549" s="54"/>
      <c r="E549" s="54"/>
      <c r="F549" s="54"/>
      <c r="G549" s="54"/>
      <c r="H549" s="54"/>
      <c r="I549" s="54"/>
    </row>
    <row r="550">
      <c r="A550" s="76"/>
      <c r="B550" s="54"/>
      <c r="C550" s="54"/>
      <c r="D550" s="54"/>
      <c r="E550" s="54"/>
      <c r="F550" s="54"/>
      <c r="G550" s="54"/>
      <c r="H550" s="54"/>
      <c r="I550" s="54"/>
    </row>
    <row r="551">
      <c r="A551" s="76"/>
      <c r="B551" s="54"/>
      <c r="C551" s="54"/>
      <c r="D551" s="54"/>
      <c r="E551" s="54"/>
      <c r="F551" s="54"/>
      <c r="G551" s="54"/>
      <c r="H551" s="54"/>
      <c r="I551" s="54"/>
    </row>
    <row r="552">
      <c r="A552" s="76"/>
      <c r="B552" s="54"/>
      <c r="C552" s="54"/>
      <c r="D552" s="54"/>
      <c r="E552" s="54"/>
      <c r="F552" s="54"/>
      <c r="G552" s="54"/>
      <c r="H552" s="54"/>
      <c r="I552" s="54"/>
    </row>
    <row r="553">
      <c r="A553" s="76"/>
      <c r="B553" s="54"/>
      <c r="C553" s="54"/>
      <c r="D553" s="54"/>
      <c r="E553" s="54"/>
      <c r="F553" s="54"/>
      <c r="G553" s="54"/>
      <c r="H553" s="54"/>
      <c r="I553" s="54"/>
    </row>
    <row r="554">
      <c r="A554" s="76"/>
      <c r="B554" s="54"/>
      <c r="C554" s="54"/>
      <c r="D554" s="54"/>
      <c r="E554" s="54"/>
      <c r="F554" s="54"/>
      <c r="G554" s="54"/>
      <c r="H554" s="54"/>
      <c r="I554" s="54"/>
    </row>
    <row r="555">
      <c r="A555" s="76"/>
      <c r="B555" s="54"/>
      <c r="C555" s="54"/>
      <c r="D555" s="54"/>
      <c r="E555" s="54"/>
      <c r="F555" s="54"/>
      <c r="G555" s="54"/>
      <c r="H555" s="54"/>
      <c r="I555" s="54"/>
    </row>
    <row r="556">
      <c r="A556" s="76"/>
      <c r="B556" s="54"/>
      <c r="C556" s="54"/>
      <c r="D556" s="54"/>
      <c r="E556" s="54"/>
      <c r="F556" s="54"/>
      <c r="G556" s="54"/>
      <c r="H556" s="54"/>
      <c r="I556" s="54"/>
    </row>
    <row r="557">
      <c r="A557" s="76"/>
      <c r="B557" s="54"/>
      <c r="C557" s="54"/>
      <c r="D557" s="54"/>
      <c r="E557" s="54"/>
      <c r="F557" s="54"/>
      <c r="G557" s="54"/>
      <c r="H557" s="54"/>
      <c r="I557" s="54"/>
    </row>
    <row r="558">
      <c r="A558" s="76"/>
      <c r="B558" s="54"/>
      <c r="C558" s="54"/>
      <c r="D558" s="54"/>
      <c r="E558" s="54"/>
      <c r="F558" s="54"/>
      <c r="G558" s="54"/>
      <c r="H558" s="54"/>
      <c r="I558" s="54"/>
    </row>
    <row r="559">
      <c r="A559" s="76"/>
      <c r="B559" s="54"/>
      <c r="C559" s="54"/>
      <c r="D559" s="54"/>
      <c r="E559" s="54"/>
      <c r="F559" s="54"/>
      <c r="G559" s="54"/>
      <c r="H559" s="54"/>
      <c r="I559" s="54"/>
    </row>
    <row r="560">
      <c r="A560" s="76"/>
      <c r="B560" s="54"/>
      <c r="C560" s="54"/>
      <c r="D560" s="54"/>
      <c r="E560" s="54"/>
      <c r="F560" s="54"/>
      <c r="G560" s="54"/>
      <c r="H560" s="54"/>
      <c r="I560" s="54"/>
    </row>
    <row r="561">
      <c r="A561" s="76"/>
      <c r="B561" s="54"/>
      <c r="C561" s="54"/>
      <c r="D561" s="54"/>
      <c r="E561" s="54"/>
      <c r="F561" s="54"/>
      <c r="G561" s="54"/>
      <c r="H561" s="54"/>
      <c r="I561" s="54"/>
    </row>
    <row r="562">
      <c r="A562" s="76"/>
      <c r="B562" s="54"/>
      <c r="C562" s="54"/>
      <c r="D562" s="54"/>
      <c r="E562" s="54"/>
      <c r="F562" s="54"/>
      <c r="G562" s="54"/>
      <c r="H562" s="54"/>
      <c r="I562" s="54"/>
    </row>
    <row r="563">
      <c r="A563" s="76"/>
      <c r="B563" s="54"/>
      <c r="C563" s="54"/>
      <c r="D563" s="54"/>
      <c r="E563" s="54"/>
      <c r="F563" s="54"/>
      <c r="G563" s="54"/>
      <c r="H563" s="54"/>
      <c r="I563" s="54"/>
    </row>
    <row r="564">
      <c r="A564" s="76"/>
      <c r="B564" s="54"/>
      <c r="C564" s="54"/>
      <c r="D564" s="54"/>
      <c r="E564" s="54"/>
      <c r="F564" s="54"/>
      <c r="G564" s="54"/>
      <c r="H564" s="54"/>
      <c r="I564" s="54"/>
    </row>
    <row r="565">
      <c r="A565" s="76"/>
      <c r="B565" s="54"/>
      <c r="C565" s="54"/>
      <c r="D565" s="54"/>
      <c r="E565" s="54"/>
      <c r="F565" s="54"/>
      <c r="G565" s="54"/>
      <c r="H565" s="54"/>
      <c r="I565" s="54"/>
    </row>
    <row r="566">
      <c r="A566" s="76"/>
      <c r="B566" s="54"/>
      <c r="C566" s="54"/>
      <c r="D566" s="54"/>
      <c r="E566" s="54"/>
      <c r="F566" s="54"/>
      <c r="G566" s="54"/>
      <c r="H566" s="54"/>
      <c r="I566" s="54"/>
    </row>
    <row r="567">
      <c r="A567" s="76"/>
      <c r="B567" s="54"/>
      <c r="C567" s="54"/>
      <c r="D567" s="54"/>
      <c r="E567" s="54"/>
      <c r="F567" s="54"/>
      <c r="G567" s="54"/>
      <c r="H567" s="54"/>
      <c r="I567" s="54"/>
    </row>
    <row r="568">
      <c r="A568" s="76"/>
      <c r="B568" s="54"/>
      <c r="C568" s="54"/>
      <c r="D568" s="54"/>
      <c r="E568" s="54"/>
      <c r="F568" s="54"/>
      <c r="G568" s="54"/>
      <c r="H568" s="54"/>
      <c r="I568" s="54"/>
    </row>
    <row r="569">
      <c r="A569" s="76"/>
      <c r="B569" s="54"/>
      <c r="C569" s="54"/>
      <c r="D569" s="54"/>
      <c r="E569" s="54"/>
      <c r="F569" s="54"/>
      <c r="G569" s="54"/>
      <c r="H569" s="54"/>
      <c r="I569" s="54"/>
    </row>
    <row r="570">
      <c r="A570" s="76"/>
      <c r="B570" s="54"/>
      <c r="C570" s="54"/>
      <c r="D570" s="54"/>
      <c r="E570" s="54"/>
      <c r="F570" s="54"/>
      <c r="G570" s="54"/>
      <c r="H570" s="54"/>
      <c r="I570" s="54"/>
    </row>
    <row r="571">
      <c r="A571" s="76"/>
      <c r="B571" s="54"/>
      <c r="C571" s="54"/>
      <c r="D571" s="54"/>
      <c r="E571" s="54"/>
      <c r="F571" s="54"/>
      <c r="G571" s="54"/>
      <c r="H571" s="54"/>
      <c r="I571" s="54"/>
    </row>
    <row r="572">
      <c r="A572" s="76"/>
      <c r="B572" s="54"/>
      <c r="C572" s="54"/>
      <c r="D572" s="54"/>
      <c r="E572" s="54"/>
      <c r="F572" s="54"/>
      <c r="G572" s="54"/>
      <c r="H572" s="54"/>
      <c r="I572" s="54"/>
    </row>
    <row r="573">
      <c r="A573" s="76"/>
      <c r="B573" s="54"/>
      <c r="C573" s="54"/>
      <c r="D573" s="54"/>
      <c r="E573" s="54"/>
      <c r="F573" s="54"/>
      <c r="G573" s="54"/>
      <c r="H573" s="54"/>
      <c r="I573" s="54"/>
    </row>
    <row r="574">
      <c r="A574" s="76"/>
      <c r="B574" s="54"/>
      <c r="C574" s="54"/>
      <c r="D574" s="54"/>
      <c r="E574" s="54"/>
      <c r="F574" s="54"/>
      <c r="G574" s="54"/>
      <c r="H574" s="54"/>
      <c r="I574" s="54"/>
    </row>
    <row r="575">
      <c r="A575" s="76"/>
      <c r="B575" s="54"/>
      <c r="C575" s="54"/>
      <c r="D575" s="54"/>
      <c r="E575" s="54"/>
      <c r="F575" s="54"/>
      <c r="G575" s="54"/>
      <c r="H575" s="54"/>
      <c r="I575" s="54"/>
    </row>
    <row r="576">
      <c r="A576" s="76"/>
      <c r="B576" s="54"/>
      <c r="C576" s="54"/>
      <c r="D576" s="54"/>
      <c r="E576" s="54"/>
      <c r="F576" s="54"/>
      <c r="G576" s="54"/>
      <c r="H576" s="54"/>
      <c r="I576" s="54"/>
    </row>
    <row r="577">
      <c r="A577" s="76"/>
      <c r="B577" s="54"/>
      <c r="C577" s="54"/>
      <c r="D577" s="54"/>
      <c r="E577" s="54"/>
      <c r="F577" s="54"/>
      <c r="G577" s="54"/>
      <c r="H577" s="54"/>
      <c r="I577" s="54"/>
    </row>
    <row r="578">
      <c r="A578" s="76"/>
      <c r="B578" s="54"/>
      <c r="C578" s="54"/>
      <c r="D578" s="54"/>
      <c r="E578" s="54"/>
      <c r="F578" s="54"/>
      <c r="G578" s="54"/>
      <c r="H578" s="54"/>
      <c r="I578" s="54"/>
    </row>
    <row r="579">
      <c r="A579" s="76"/>
      <c r="B579" s="54"/>
      <c r="C579" s="54"/>
      <c r="D579" s="54"/>
      <c r="E579" s="54"/>
      <c r="F579" s="54"/>
      <c r="G579" s="54"/>
      <c r="H579" s="54"/>
      <c r="I579" s="54"/>
    </row>
    <row r="580">
      <c r="A580" s="76"/>
      <c r="B580" s="54"/>
      <c r="C580" s="54"/>
      <c r="D580" s="54"/>
      <c r="E580" s="54"/>
      <c r="F580" s="54"/>
      <c r="G580" s="54"/>
      <c r="H580" s="54"/>
      <c r="I580" s="54"/>
    </row>
    <row r="581">
      <c r="A581" s="76"/>
      <c r="B581" s="54"/>
      <c r="C581" s="54"/>
      <c r="D581" s="54"/>
      <c r="E581" s="54"/>
      <c r="F581" s="54"/>
      <c r="G581" s="54"/>
      <c r="H581" s="54"/>
      <c r="I581" s="54"/>
    </row>
    <row r="582">
      <c r="A582" s="76"/>
      <c r="B582" s="54"/>
      <c r="C582" s="54"/>
      <c r="D582" s="54"/>
      <c r="E582" s="54"/>
      <c r="F582" s="54"/>
      <c r="G582" s="54"/>
      <c r="H582" s="54"/>
      <c r="I582" s="54"/>
    </row>
    <row r="583">
      <c r="A583" s="76"/>
      <c r="B583" s="54"/>
      <c r="C583" s="54"/>
      <c r="D583" s="54"/>
      <c r="E583" s="54"/>
      <c r="F583" s="54"/>
      <c r="G583" s="54"/>
      <c r="H583" s="54"/>
      <c r="I583" s="54"/>
    </row>
    <row r="584">
      <c r="A584" s="76"/>
      <c r="B584" s="54"/>
      <c r="C584" s="54"/>
      <c r="D584" s="54"/>
      <c r="E584" s="54"/>
      <c r="F584" s="54"/>
      <c r="G584" s="54"/>
      <c r="H584" s="54"/>
      <c r="I584" s="54"/>
    </row>
    <row r="585">
      <c r="A585" s="76"/>
      <c r="B585" s="54"/>
      <c r="C585" s="54"/>
      <c r="D585" s="54"/>
      <c r="E585" s="54"/>
      <c r="F585" s="54"/>
      <c r="G585" s="54"/>
      <c r="H585" s="54"/>
      <c r="I585" s="54"/>
    </row>
    <row r="586">
      <c r="A586" s="76"/>
      <c r="B586" s="54"/>
      <c r="C586" s="54"/>
      <c r="D586" s="54"/>
      <c r="E586" s="54"/>
      <c r="F586" s="54"/>
      <c r="G586" s="54"/>
      <c r="H586" s="54"/>
      <c r="I586" s="54"/>
    </row>
    <row r="587">
      <c r="A587" s="76"/>
      <c r="B587" s="54"/>
      <c r="C587" s="54"/>
      <c r="D587" s="54"/>
      <c r="E587" s="54"/>
      <c r="F587" s="54"/>
      <c r="G587" s="54"/>
      <c r="H587" s="54"/>
      <c r="I587" s="54"/>
    </row>
    <row r="588">
      <c r="A588" s="76"/>
      <c r="B588" s="54"/>
      <c r="C588" s="54"/>
      <c r="D588" s="54"/>
      <c r="E588" s="54"/>
      <c r="F588" s="54"/>
      <c r="G588" s="54"/>
      <c r="H588" s="54"/>
      <c r="I588" s="54"/>
    </row>
    <row r="589">
      <c r="A589" s="76"/>
      <c r="B589" s="54"/>
      <c r="C589" s="54"/>
      <c r="D589" s="54"/>
      <c r="E589" s="54"/>
      <c r="F589" s="54"/>
      <c r="G589" s="54"/>
      <c r="H589" s="54"/>
      <c r="I589" s="54"/>
    </row>
    <row r="590">
      <c r="A590" s="76"/>
      <c r="B590" s="54"/>
      <c r="C590" s="54"/>
      <c r="D590" s="54"/>
      <c r="E590" s="54"/>
      <c r="F590" s="54"/>
      <c r="G590" s="54"/>
      <c r="H590" s="54"/>
      <c r="I590" s="54"/>
    </row>
    <row r="591">
      <c r="A591" s="76"/>
      <c r="B591" s="54"/>
      <c r="C591" s="54"/>
      <c r="D591" s="54"/>
      <c r="E591" s="54"/>
      <c r="F591" s="54"/>
      <c r="G591" s="54"/>
      <c r="H591" s="54"/>
      <c r="I591" s="54"/>
    </row>
    <row r="592">
      <c r="A592" s="76"/>
      <c r="B592" s="54"/>
      <c r="C592" s="54"/>
      <c r="D592" s="54"/>
      <c r="E592" s="54"/>
      <c r="F592" s="54"/>
      <c r="G592" s="54"/>
      <c r="H592" s="54"/>
      <c r="I592" s="54"/>
    </row>
    <row r="593">
      <c r="A593" s="76"/>
      <c r="B593" s="54"/>
      <c r="C593" s="54"/>
      <c r="D593" s="54"/>
      <c r="E593" s="54"/>
      <c r="F593" s="54"/>
      <c r="G593" s="54"/>
      <c r="H593" s="54"/>
      <c r="I593" s="54"/>
    </row>
    <row r="594">
      <c r="A594" s="76"/>
      <c r="B594" s="54"/>
      <c r="C594" s="54"/>
      <c r="D594" s="54"/>
      <c r="E594" s="54"/>
      <c r="F594" s="54"/>
      <c r="G594" s="54"/>
      <c r="H594" s="54"/>
      <c r="I594" s="54"/>
    </row>
    <row r="595">
      <c r="A595" s="76"/>
      <c r="B595" s="54"/>
      <c r="C595" s="54"/>
      <c r="D595" s="54"/>
      <c r="E595" s="54"/>
      <c r="F595" s="54"/>
      <c r="G595" s="54"/>
      <c r="H595" s="54"/>
      <c r="I595" s="54"/>
    </row>
    <row r="596">
      <c r="A596" s="76"/>
      <c r="B596" s="54"/>
      <c r="C596" s="54"/>
      <c r="D596" s="54"/>
      <c r="E596" s="54"/>
      <c r="F596" s="54"/>
      <c r="G596" s="54"/>
      <c r="H596" s="54"/>
      <c r="I596" s="54"/>
    </row>
    <row r="597">
      <c r="A597" s="76"/>
      <c r="B597" s="54"/>
      <c r="C597" s="54"/>
      <c r="D597" s="54"/>
      <c r="E597" s="54"/>
      <c r="F597" s="54"/>
      <c r="G597" s="54"/>
      <c r="H597" s="54"/>
      <c r="I597" s="54"/>
    </row>
    <row r="598">
      <c r="A598" s="76"/>
      <c r="B598" s="54"/>
      <c r="C598" s="54"/>
      <c r="D598" s="54"/>
      <c r="E598" s="54"/>
      <c r="F598" s="54"/>
      <c r="G598" s="54"/>
      <c r="H598" s="54"/>
      <c r="I598" s="54"/>
    </row>
    <row r="599">
      <c r="A599" s="76"/>
      <c r="B599" s="54"/>
      <c r="C599" s="54"/>
      <c r="D599" s="54"/>
      <c r="E599" s="54"/>
      <c r="F599" s="54"/>
      <c r="G599" s="54"/>
      <c r="H599" s="54"/>
      <c r="I599" s="54"/>
    </row>
    <row r="600">
      <c r="A600" s="76"/>
      <c r="B600" s="54"/>
      <c r="C600" s="54"/>
      <c r="D600" s="54"/>
      <c r="E600" s="54"/>
      <c r="F600" s="54"/>
      <c r="G600" s="54"/>
      <c r="H600" s="54"/>
      <c r="I600" s="54"/>
    </row>
    <row r="601">
      <c r="A601" s="76"/>
      <c r="B601" s="54"/>
      <c r="C601" s="54"/>
      <c r="D601" s="54"/>
      <c r="E601" s="54"/>
      <c r="F601" s="54"/>
      <c r="G601" s="54"/>
      <c r="H601" s="54"/>
      <c r="I601" s="54"/>
    </row>
    <row r="602">
      <c r="A602" s="76"/>
      <c r="B602" s="54"/>
      <c r="C602" s="54"/>
      <c r="D602" s="54"/>
      <c r="E602" s="54"/>
      <c r="F602" s="54"/>
      <c r="G602" s="54"/>
      <c r="H602" s="54"/>
      <c r="I602" s="54"/>
    </row>
    <row r="603">
      <c r="A603" s="76"/>
      <c r="B603" s="54"/>
      <c r="C603" s="54"/>
      <c r="D603" s="54"/>
      <c r="E603" s="54"/>
      <c r="F603" s="54"/>
      <c r="G603" s="54"/>
      <c r="H603" s="54"/>
      <c r="I603" s="54"/>
    </row>
    <row r="604">
      <c r="A604" s="76"/>
      <c r="B604" s="54"/>
      <c r="C604" s="54"/>
      <c r="D604" s="54"/>
      <c r="E604" s="54"/>
      <c r="F604" s="54"/>
      <c r="G604" s="54"/>
      <c r="H604" s="54"/>
      <c r="I604" s="54"/>
    </row>
    <row r="605">
      <c r="A605" s="76"/>
      <c r="B605" s="54"/>
      <c r="C605" s="54"/>
      <c r="D605" s="54"/>
      <c r="E605" s="54"/>
      <c r="F605" s="54"/>
      <c r="G605" s="54"/>
      <c r="H605" s="54"/>
      <c r="I605" s="54"/>
    </row>
    <row r="606">
      <c r="A606" s="76"/>
      <c r="B606" s="54"/>
      <c r="C606" s="54"/>
      <c r="D606" s="54"/>
      <c r="E606" s="54"/>
      <c r="F606" s="54"/>
      <c r="G606" s="54"/>
      <c r="H606" s="54"/>
      <c r="I606" s="54"/>
    </row>
    <row r="607">
      <c r="A607" s="76"/>
      <c r="B607" s="54"/>
      <c r="C607" s="54"/>
      <c r="D607" s="54"/>
      <c r="E607" s="54"/>
      <c r="F607" s="54"/>
      <c r="G607" s="54"/>
      <c r="H607" s="54"/>
      <c r="I607" s="54"/>
    </row>
    <row r="608">
      <c r="A608" s="76"/>
      <c r="B608" s="54"/>
      <c r="C608" s="54"/>
      <c r="D608" s="54"/>
      <c r="E608" s="54"/>
      <c r="F608" s="54"/>
      <c r="G608" s="54"/>
      <c r="H608" s="54"/>
      <c r="I608" s="54"/>
    </row>
    <row r="609">
      <c r="A609" s="76"/>
      <c r="B609" s="54"/>
      <c r="C609" s="54"/>
      <c r="D609" s="54"/>
      <c r="E609" s="54"/>
      <c r="F609" s="54"/>
      <c r="G609" s="54"/>
      <c r="H609" s="54"/>
      <c r="I609" s="54"/>
    </row>
    <row r="610">
      <c r="A610" s="76"/>
      <c r="B610" s="54"/>
      <c r="C610" s="54"/>
      <c r="D610" s="54"/>
      <c r="E610" s="54"/>
      <c r="F610" s="54"/>
      <c r="G610" s="54"/>
      <c r="H610" s="54"/>
      <c r="I610" s="54"/>
    </row>
    <row r="611">
      <c r="A611" s="76"/>
      <c r="B611" s="54"/>
      <c r="C611" s="54"/>
      <c r="D611" s="54"/>
      <c r="E611" s="54"/>
      <c r="F611" s="54"/>
      <c r="G611" s="54"/>
      <c r="H611" s="54"/>
      <c r="I611" s="54"/>
    </row>
    <row r="612">
      <c r="A612" s="76"/>
      <c r="B612" s="54"/>
      <c r="C612" s="54"/>
      <c r="D612" s="54"/>
      <c r="E612" s="54"/>
      <c r="F612" s="54"/>
      <c r="G612" s="54"/>
      <c r="H612" s="54"/>
      <c r="I612" s="54"/>
    </row>
    <row r="613">
      <c r="A613" s="76"/>
      <c r="B613" s="54"/>
      <c r="C613" s="54"/>
      <c r="D613" s="54"/>
      <c r="E613" s="54"/>
      <c r="F613" s="54"/>
      <c r="G613" s="54"/>
      <c r="H613" s="54"/>
      <c r="I613" s="54"/>
    </row>
    <row r="614">
      <c r="A614" s="76"/>
      <c r="B614" s="54"/>
      <c r="C614" s="54"/>
      <c r="D614" s="54"/>
      <c r="E614" s="54"/>
      <c r="F614" s="54"/>
      <c r="G614" s="54"/>
      <c r="H614" s="54"/>
      <c r="I614" s="54"/>
    </row>
    <row r="615">
      <c r="A615" s="76"/>
      <c r="B615" s="54"/>
      <c r="C615" s="54"/>
      <c r="D615" s="54"/>
      <c r="E615" s="54"/>
      <c r="F615" s="54"/>
      <c r="G615" s="54"/>
      <c r="H615" s="54"/>
      <c r="I615" s="54"/>
    </row>
    <row r="616">
      <c r="A616" s="76"/>
      <c r="B616" s="54"/>
      <c r="C616" s="54"/>
      <c r="D616" s="54"/>
      <c r="E616" s="54"/>
      <c r="F616" s="54"/>
      <c r="G616" s="54"/>
      <c r="H616" s="54"/>
      <c r="I616" s="54"/>
    </row>
    <row r="617">
      <c r="A617" s="76"/>
      <c r="B617" s="54"/>
      <c r="C617" s="54"/>
      <c r="D617" s="54"/>
      <c r="E617" s="54"/>
      <c r="F617" s="54"/>
      <c r="G617" s="54"/>
      <c r="H617" s="54"/>
      <c r="I617" s="54"/>
    </row>
    <row r="618">
      <c r="A618" s="76"/>
      <c r="B618" s="54"/>
      <c r="C618" s="54"/>
      <c r="D618" s="54"/>
      <c r="E618" s="54"/>
      <c r="F618" s="54"/>
      <c r="G618" s="54"/>
      <c r="H618" s="54"/>
      <c r="I618" s="54"/>
    </row>
    <row r="619">
      <c r="A619" s="76"/>
      <c r="B619" s="54"/>
      <c r="C619" s="54"/>
      <c r="D619" s="54"/>
      <c r="E619" s="54"/>
      <c r="F619" s="54"/>
      <c r="G619" s="54"/>
      <c r="H619" s="54"/>
      <c r="I619" s="54"/>
    </row>
    <row r="620">
      <c r="A620" s="76"/>
      <c r="B620" s="54"/>
      <c r="C620" s="54"/>
      <c r="D620" s="54"/>
      <c r="E620" s="54"/>
      <c r="F620" s="54"/>
      <c r="G620" s="54"/>
      <c r="H620" s="54"/>
      <c r="I620" s="54"/>
    </row>
    <row r="621">
      <c r="A621" s="76"/>
      <c r="B621" s="54"/>
      <c r="C621" s="54"/>
      <c r="D621" s="54"/>
      <c r="E621" s="54"/>
      <c r="F621" s="54"/>
      <c r="G621" s="54"/>
      <c r="H621" s="54"/>
      <c r="I621" s="54"/>
    </row>
    <row r="622">
      <c r="A622" s="76"/>
      <c r="B622" s="54"/>
      <c r="C622" s="54"/>
      <c r="D622" s="54"/>
      <c r="E622" s="54"/>
      <c r="F622" s="54"/>
      <c r="G622" s="54"/>
      <c r="H622" s="54"/>
      <c r="I622" s="54"/>
    </row>
    <row r="623">
      <c r="A623" s="76"/>
      <c r="B623" s="54"/>
      <c r="C623" s="54"/>
      <c r="D623" s="54"/>
      <c r="E623" s="54"/>
      <c r="F623" s="54"/>
      <c r="G623" s="54"/>
      <c r="H623" s="54"/>
      <c r="I623" s="54"/>
    </row>
    <row r="624">
      <c r="A624" s="76"/>
      <c r="B624" s="54"/>
      <c r="C624" s="54"/>
      <c r="D624" s="54"/>
      <c r="E624" s="54"/>
      <c r="F624" s="54"/>
      <c r="G624" s="54"/>
      <c r="H624" s="54"/>
      <c r="I624" s="54"/>
    </row>
    <row r="625">
      <c r="A625" s="76"/>
      <c r="B625" s="54"/>
      <c r="C625" s="54"/>
      <c r="D625" s="54"/>
      <c r="E625" s="54"/>
      <c r="F625" s="54"/>
      <c r="G625" s="54"/>
      <c r="H625" s="54"/>
      <c r="I625" s="54"/>
    </row>
    <row r="626">
      <c r="A626" s="76"/>
      <c r="B626" s="54"/>
      <c r="C626" s="54"/>
      <c r="D626" s="54"/>
      <c r="E626" s="54"/>
      <c r="F626" s="54"/>
      <c r="G626" s="54"/>
      <c r="H626" s="54"/>
      <c r="I626" s="54"/>
    </row>
    <row r="627">
      <c r="A627" s="76"/>
      <c r="B627" s="54"/>
      <c r="C627" s="54"/>
      <c r="D627" s="54"/>
      <c r="E627" s="54"/>
      <c r="F627" s="54"/>
      <c r="G627" s="54"/>
      <c r="H627" s="54"/>
      <c r="I627" s="54"/>
    </row>
    <row r="628">
      <c r="A628" s="76"/>
      <c r="B628" s="54"/>
      <c r="C628" s="54"/>
      <c r="D628" s="54"/>
      <c r="E628" s="54"/>
      <c r="F628" s="54"/>
      <c r="G628" s="54"/>
      <c r="H628" s="54"/>
      <c r="I628" s="54"/>
    </row>
    <row r="629">
      <c r="A629" s="76"/>
      <c r="B629" s="54"/>
      <c r="C629" s="54"/>
      <c r="D629" s="54"/>
      <c r="E629" s="54"/>
      <c r="F629" s="54"/>
      <c r="G629" s="54"/>
      <c r="H629" s="54"/>
      <c r="I629" s="54"/>
    </row>
    <row r="630">
      <c r="A630" s="76"/>
      <c r="B630" s="54"/>
      <c r="C630" s="54"/>
      <c r="D630" s="54"/>
      <c r="E630" s="54"/>
      <c r="F630" s="54"/>
      <c r="G630" s="54"/>
      <c r="H630" s="54"/>
      <c r="I630" s="54"/>
    </row>
    <row r="631">
      <c r="A631" s="76"/>
      <c r="B631" s="54"/>
      <c r="C631" s="54"/>
      <c r="D631" s="54"/>
      <c r="E631" s="54"/>
      <c r="F631" s="54"/>
      <c r="G631" s="54"/>
      <c r="H631" s="54"/>
      <c r="I631" s="54"/>
    </row>
    <row r="632">
      <c r="A632" s="76"/>
      <c r="B632" s="54"/>
      <c r="C632" s="54"/>
      <c r="D632" s="54"/>
      <c r="E632" s="54"/>
      <c r="F632" s="54"/>
      <c r="G632" s="54"/>
      <c r="H632" s="54"/>
      <c r="I632" s="54"/>
    </row>
    <row r="633">
      <c r="A633" s="76"/>
      <c r="B633" s="54"/>
      <c r="C633" s="54"/>
      <c r="D633" s="54"/>
      <c r="E633" s="54"/>
      <c r="F633" s="54"/>
      <c r="G633" s="54"/>
      <c r="H633" s="54"/>
      <c r="I633" s="54"/>
    </row>
    <row r="634">
      <c r="A634" s="76"/>
      <c r="B634" s="54"/>
      <c r="C634" s="54"/>
      <c r="D634" s="54"/>
      <c r="E634" s="54"/>
      <c r="F634" s="54"/>
      <c r="G634" s="54"/>
      <c r="H634" s="54"/>
      <c r="I634" s="54"/>
    </row>
    <row r="635">
      <c r="A635" s="76"/>
      <c r="B635" s="54"/>
      <c r="C635" s="54"/>
      <c r="D635" s="54"/>
      <c r="E635" s="54"/>
      <c r="F635" s="54"/>
      <c r="G635" s="54"/>
      <c r="H635" s="54"/>
      <c r="I635" s="54"/>
    </row>
    <row r="636">
      <c r="A636" s="76"/>
      <c r="B636" s="54"/>
      <c r="C636" s="54"/>
      <c r="D636" s="54"/>
      <c r="E636" s="54"/>
      <c r="F636" s="54"/>
      <c r="G636" s="54"/>
      <c r="H636" s="54"/>
      <c r="I636" s="54"/>
    </row>
    <row r="637">
      <c r="A637" s="76"/>
      <c r="B637" s="54"/>
      <c r="C637" s="54"/>
      <c r="D637" s="54"/>
      <c r="E637" s="54"/>
      <c r="F637" s="54"/>
      <c r="G637" s="54"/>
      <c r="H637" s="54"/>
      <c r="I637" s="54"/>
    </row>
    <row r="638">
      <c r="A638" s="76"/>
      <c r="B638" s="54"/>
      <c r="C638" s="54"/>
      <c r="D638" s="54"/>
      <c r="E638" s="54"/>
      <c r="F638" s="54"/>
      <c r="G638" s="54"/>
      <c r="H638" s="54"/>
      <c r="I638" s="54"/>
    </row>
    <row r="639">
      <c r="A639" s="76"/>
      <c r="B639" s="54"/>
      <c r="C639" s="54"/>
      <c r="D639" s="54"/>
      <c r="E639" s="54"/>
      <c r="F639" s="54"/>
      <c r="G639" s="54"/>
      <c r="H639" s="54"/>
      <c r="I639" s="54"/>
    </row>
    <row r="640">
      <c r="A640" s="76"/>
      <c r="B640" s="54"/>
      <c r="C640" s="54"/>
      <c r="D640" s="54"/>
      <c r="E640" s="54"/>
      <c r="F640" s="54"/>
      <c r="G640" s="54"/>
      <c r="H640" s="54"/>
      <c r="I640" s="54"/>
    </row>
    <row r="641">
      <c r="A641" s="76"/>
      <c r="B641" s="54"/>
      <c r="C641" s="54"/>
      <c r="D641" s="54"/>
      <c r="E641" s="54"/>
      <c r="F641" s="54"/>
      <c r="G641" s="54"/>
      <c r="H641" s="54"/>
      <c r="I641" s="54"/>
    </row>
    <row r="642">
      <c r="A642" s="76"/>
      <c r="B642" s="54"/>
      <c r="C642" s="54"/>
      <c r="D642" s="54"/>
      <c r="E642" s="54"/>
      <c r="F642" s="54"/>
      <c r="G642" s="54"/>
      <c r="H642" s="54"/>
      <c r="I642" s="54"/>
    </row>
    <row r="643">
      <c r="A643" s="76"/>
      <c r="B643" s="54"/>
      <c r="C643" s="54"/>
      <c r="D643" s="54"/>
      <c r="E643" s="54"/>
      <c r="F643" s="54"/>
      <c r="G643" s="54"/>
      <c r="H643" s="54"/>
      <c r="I643" s="54"/>
    </row>
    <row r="644">
      <c r="A644" s="76"/>
      <c r="B644" s="54"/>
      <c r="C644" s="54"/>
      <c r="D644" s="54"/>
      <c r="E644" s="54"/>
      <c r="F644" s="54"/>
      <c r="G644" s="54"/>
      <c r="H644" s="54"/>
      <c r="I644" s="54"/>
    </row>
    <row r="645">
      <c r="A645" s="76"/>
      <c r="B645" s="54"/>
      <c r="C645" s="54"/>
      <c r="D645" s="54"/>
      <c r="E645" s="54"/>
      <c r="F645" s="54"/>
      <c r="G645" s="54"/>
      <c r="H645" s="54"/>
      <c r="I645" s="54"/>
    </row>
    <row r="646">
      <c r="A646" s="76"/>
      <c r="B646" s="54"/>
      <c r="C646" s="54"/>
      <c r="D646" s="54"/>
      <c r="E646" s="54"/>
      <c r="F646" s="54"/>
      <c r="G646" s="54"/>
      <c r="H646" s="54"/>
      <c r="I646" s="54"/>
    </row>
    <row r="647">
      <c r="A647" s="76"/>
      <c r="B647" s="54"/>
      <c r="C647" s="54"/>
      <c r="D647" s="54"/>
      <c r="E647" s="54"/>
      <c r="F647" s="54"/>
      <c r="G647" s="54"/>
      <c r="H647" s="54"/>
      <c r="I647" s="54"/>
    </row>
    <row r="648">
      <c r="A648" s="76"/>
      <c r="B648" s="54"/>
      <c r="C648" s="54"/>
      <c r="D648" s="54"/>
      <c r="E648" s="54"/>
      <c r="F648" s="54"/>
      <c r="G648" s="54"/>
      <c r="H648" s="54"/>
      <c r="I648" s="54"/>
    </row>
    <row r="649">
      <c r="A649" s="76"/>
      <c r="B649" s="54"/>
      <c r="C649" s="54"/>
      <c r="D649" s="54"/>
      <c r="E649" s="54"/>
      <c r="F649" s="54"/>
      <c r="G649" s="54"/>
      <c r="H649" s="54"/>
      <c r="I649" s="54"/>
    </row>
    <row r="650">
      <c r="A650" s="76"/>
      <c r="B650" s="54"/>
      <c r="C650" s="54"/>
      <c r="D650" s="54"/>
      <c r="E650" s="54"/>
      <c r="F650" s="54"/>
      <c r="G650" s="54"/>
      <c r="H650" s="54"/>
      <c r="I650" s="54"/>
    </row>
    <row r="651">
      <c r="A651" s="76"/>
      <c r="B651" s="54"/>
      <c r="C651" s="54"/>
      <c r="D651" s="54"/>
      <c r="E651" s="54"/>
      <c r="F651" s="54"/>
      <c r="G651" s="54"/>
      <c r="H651" s="54"/>
      <c r="I651" s="54"/>
    </row>
    <row r="652">
      <c r="A652" s="76"/>
      <c r="B652" s="54"/>
      <c r="C652" s="54"/>
      <c r="D652" s="54"/>
      <c r="E652" s="54"/>
      <c r="F652" s="54"/>
      <c r="G652" s="54"/>
      <c r="H652" s="54"/>
      <c r="I652" s="54"/>
    </row>
    <row r="653">
      <c r="A653" s="76"/>
      <c r="B653" s="54"/>
      <c r="C653" s="54"/>
      <c r="D653" s="54"/>
      <c r="E653" s="54"/>
      <c r="F653" s="54"/>
      <c r="G653" s="54"/>
      <c r="H653" s="54"/>
      <c r="I653" s="54"/>
    </row>
    <row r="654">
      <c r="A654" s="76"/>
      <c r="B654" s="54"/>
      <c r="C654" s="54"/>
      <c r="D654" s="54"/>
      <c r="E654" s="54"/>
      <c r="F654" s="54"/>
      <c r="G654" s="54"/>
      <c r="H654" s="54"/>
      <c r="I654" s="54"/>
    </row>
    <row r="655">
      <c r="A655" s="76"/>
      <c r="B655" s="54"/>
      <c r="C655" s="54"/>
      <c r="D655" s="54"/>
      <c r="E655" s="54"/>
      <c r="F655" s="54"/>
      <c r="G655" s="54"/>
      <c r="H655" s="54"/>
      <c r="I655" s="54"/>
    </row>
    <row r="656">
      <c r="A656" s="76"/>
      <c r="B656" s="54"/>
      <c r="C656" s="54"/>
      <c r="D656" s="54"/>
      <c r="E656" s="54"/>
      <c r="F656" s="54"/>
      <c r="G656" s="54"/>
      <c r="H656" s="54"/>
      <c r="I656" s="54"/>
    </row>
    <row r="657">
      <c r="A657" s="76"/>
      <c r="B657" s="54"/>
      <c r="C657" s="54"/>
      <c r="D657" s="54"/>
      <c r="E657" s="54"/>
      <c r="F657" s="54"/>
      <c r="G657" s="54"/>
      <c r="H657" s="54"/>
      <c r="I657" s="54"/>
    </row>
    <row r="658">
      <c r="A658" s="76"/>
      <c r="B658" s="54"/>
      <c r="C658" s="54"/>
      <c r="D658" s="54"/>
      <c r="E658" s="54"/>
      <c r="F658" s="54"/>
      <c r="G658" s="54"/>
      <c r="H658" s="54"/>
      <c r="I658" s="54"/>
    </row>
    <row r="659">
      <c r="A659" s="76"/>
      <c r="B659" s="54"/>
      <c r="C659" s="54"/>
      <c r="D659" s="54"/>
      <c r="E659" s="54"/>
      <c r="F659" s="54"/>
      <c r="G659" s="54"/>
      <c r="H659" s="54"/>
      <c r="I659" s="54"/>
    </row>
    <row r="660">
      <c r="A660" s="76"/>
      <c r="B660" s="54"/>
      <c r="C660" s="54"/>
      <c r="D660" s="54"/>
      <c r="E660" s="54"/>
      <c r="F660" s="54"/>
      <c r="G660" s="54"/>
      <c r="H660" s="54"/>
      <c r="I660" s="54"/>
    </row>
    <row r="661">
      <c r="A661" s="76"/>
      <c r="B661" s="54"/>
      <c r="C661" s="54"/>
      <c r="D661" s="54"/>
      <c r="E661" s="54"/>
      <c r="F661" s="54"/>
      <c r="G661" s="54"/>
      <c r="H661" s="54"/>
      <c r="I661" s="54"/>
    </row>
    <row r="662">
      <c r="A662" s="76"/>
      <c r="B662" s="54"/>
      <c r="C662" s="54"/>
      <c r="D662" s="54"/>
      <c r="E662" s="54"/>
      <c r="F662" s="54"/>
      <c r="G662" s="54"/>
      <c r="H662" s="54"/>
      <c r="I662" s="54"/>
    </row>
    <row r="663">
      <c r="A663" s="76"/>
      <c r="B663" s="54"/>
      <c r="C663" s="54"/>
      <c r="D663" s="54"/>
      <c r="E663" s="54"/>
      <c r="F663" s="54"/>
      <c r="G663" s="54"/>
      <c r="H663" s="54"/>
      <c r="I663" s="54"/>
    </row>
    <row r="664">
      <c r="A664" s="76"/>
      <c r="B664" s="54"/>
      <c r="C664" s="54"/>
      <c r="D664" s="54"/>
      <c r="E664" s="54"/>
      <c r="F664" s="54"/>
      <c r="G664" s="54"/>
      <c r="H664" s="54"/>
      <c r="I664" s="54"/>
    </row>
    <row r="665">
      <c r="A665" s="76"/>
      <c r="B665" s="54"/>
      <c r="C665" s="54"/>
      <c r="D665" s="54"/>
      <c r="E665" s="54"/>
      <c r="F665" s="54"/>
      <c r="G665" s="54"/>
      <c r="H665" s="54"/>
      <c r="I665" s="54"/>
    </row>
    <row r="666">
      <c r="A666" s="76"/>
      <c r="B666" s="54"/>
      <c r="C666" s="54"/>
      <c r="D666" s="54"/>
      <c r="E666" s="54"/>
      <c r="F666" s="54"/>
      <c r="G666" s="54"/>
      <c r="H666" s="54"/>
      <c r="I666" s="54"/>
    </row>
    <row r="667">
      <c r="A667" s="76"/>
      <c r="B667" s="54"/>
      <c r="C667" s="54"/>
      <c r="D667" s="54"/>
      <c r="E667" s="54"/>
      <c r="F667" s="54"/>
      <c r="G667" s="54"/>
      <c r="H667" s="54"/>
      <c r="I667" s="54"/>
    </row>
    <row r="668">
      <c r="A668" s="76"/>
      <c r="B668" s="54"/>
      <c r="C668" s="54"/>
      <c r="D668" s="54"/>
      <c r="E668" s="54"/>
      <c r="F668" s="54"/>
      <c r="G668" s="54"/>
      <c r="H668" s="54"/>
      <c r="I668" s="54"/>
    </row>
    <row r="669">
      <c r="A669" s="76"/>
      <c r="B669" s="54"/>
      <c r="C669" s="54"/>
      <c r="D669" s="54"/>
      <c r="E669" s="54"/>
      <c r="F669" s="54"/>
      <c r="G669" s="54"/>
      <c r="H669" s="54"/>
      <c r="I669" s="54"/>
    </row>
    <row r="670">
      <c r="A670" s="76"/>
      <c r="B670" s="54"/>
      <c r="C670" s="54"/>
      <c r="D670" s="54"/>
      <c r="E670" s="54"/>
      <c r="F670" s="54"/>
      <c r="G670" s="54"/>
      <c r="H670" s="54"/>
      <c r="I670" s="54"/>
    </row>
    <row r="671">
      <c r="A671" s="76"/>
      <c r="B671" s="54"/>
      <c r="C671" s="54"/>
      <c r="D671" s="54"/>
      <c r="E671" s="54"/>
      <c r="F671" s="54"/>
      <c r="G671" s="54"/>
      <c r="H671" s="54"/>
      <c r="I671" s="54"/>
    </row>
    <row r="672">
      <c r="A672" s="76"/>
      <c r="B672" s="54"/>
      <c r="C672" s="54"/>
      <c r="D672" s="54"/>
      <c r="E672" s="54"/>
      <c r="F672" s="54"/>
      <c r="G672" s="54"/>
      <c r="H672" s="54"/>
      <c r="I672" s="54"/>
    </row>
    <row r="673">
      <c r="A673" s="76"/>
      <c r="B673" s="54"/>
      <c r="C673" s="54"/>
      <c r="D673" s="54"/>
      <c r="E673" s="54"/>
      <c r="F673" s="54"/>
      <c r="G673" s="54"/>
      <c r="H673" s="54"/>
      <c r="I673" s="54"/>
    </row>
    <row r="674">
      <c r="A674" s="76"/>
      <c r="B674" s="54"/>
      <c r="C674" s="54"/>
      <c r="D674" s="54"/>
      <c r="E674" s="54"/>
      <c r="F674" s="54"/>
      <c r="G674" s="54"/>
      <c r="H674" s="54"/>
      <c r="I674" s="54"/>
    </row>
    <row r="675">
      <c r="A675" s="76"/>
      <c r="B675" s="54"/>
      <c r="C675" s="54"/>
      <c r="D675" s="54"/>
      <c r="E675" s="54"/>
      <c r="F675" s="54"/>
      <c r="G675" s="54"/>
      <c r="H675" s="54"/>
      <c r="I675" s="54"/>
    </row>
    <row r="676">
      <c r="A676" s="76"/>
      <c r="B676" s="54"/>
      <c r="C676" s="54"/>
      <c r="D676" s="54"/>
      <c r="E676" s="54"/>
      <c r="F676" s="54"/>
      <c r="G676" s="54"/>
      <c r="H676" s="54"/>
      <c r="I676" s="54"/>
    </row>
    <row r="677">
      <c r="A677" s="76"/>
      <c r="B677" s="54"/>
      <c r="C677" s="54"/>
      <c r="D677" s="54"/>
      <c r="E677" s="54"/>
      <c r="F677" s="54"/>
      <c r="G677" s="54"/>
      <c r="H677" s="54"/>
      <c r="I677" s="54"/>
    </row>
    <row r="678">
      <c r="A678" s="76"/>
      <c r="B678" s="54"/>
      <c r="C678" s="54"/>
      <c r="D678" s="54"/>
      <c r="E678" s="54"/>
      <c r="F678" s="54"/>
      <c r="G678" s="54"/>
      <c r="H678" s="54"/>
      <c r="I678" s="54"/>
    </row>
    <row r="679">
      <c r="A679" s="76"/>
      <c r="B679" s="54"/>
      <c r="C679" s="54"/>
      <c r="D679" s="54"/>
      <c r="E679" s="54"/>
      <c r="F679" s="54"/>
      <c r="G679" s="54"/>
      <c r="H679" s="54"/>
      <c r="I679" s="54"/>
    </row>
    <row r="680">
      <c r="A680" s="76"/>
      <c r="B680" s="54"/>
      <c r="C680" s="54"/>
      <c r="D680" s="54"/>
      <c r="E680" s="54"/>
      <c r="F680" s="54"/>
      <c r="G680" s="54"/>
      <c r="H680" s="54"/>
      <c r="I680" s="54"/>
    </row>
    <row r="681">
      <c r="A681" s="76"/>
      <c r="B681" s="54"/>
      <c r="C681" s="54"/>
      <c r="D681" s="54"/>
      <c r="E681" s="54"/>
      <c r="F681" s="54"/>
      <c r="G681" s="54"/>
      <c r="H681" s="54"/>
      <c r="I681" s="54"/>
    </row>
    <row r="682">
      <c r="A682" s="76"/>
      <c r="B682" s="54"/>
      <c r="C682" s="54"/>
      <c r="D682" s="54"/>
      <c r="E682" s="54"/>
      <c r="F682" s="54"/>
      <c r="G682" s="54"/>
      <c r="H682" s="54"/>
      <c r="I682" s="54"/>
    </row>
    <row r="683">
      <c r="A683" s="76"/>
      <c r="B683" s="54"/>
      <c r="C683" s="54"/>
      <c r="D683" s="54"/>
      <c r="E683" s="54"/>
      <c r="F683" s="54"/>
      <c r="G683" s="54"/>
      <c r="H683" s="54"/>
      <c r="I683" s="54"/>
    </row>
    <row r="684">
      <c r="A684" s="76"/>
      <c r="B684" s="54"/>
      <c r="C684" s="54"/>
      <c r="D684" s="54"/>
      <c r="E684" s="54"/>
      <c r="F684" s="54"/>
      <c r="G684" s="54"/>
      <c r="H684" s="54"/>
      <c r="I684" s="54"/>
    </row>
    <row r="685">
      <c r="A685" s="76"/>
      <c r="B685" s="54"/>
      <c r="C685" s="54"/>
      <c r="D685" s="54"/>
      <c r="E685" s="54"/>
      <c r="F685" s="54"/>
      <c r="G685" s="54"/>
      <c r="H685" s="54"/>
      <c r="I685" s="54"/>
    </row>
    <row r="686">
      <c r="A686" s="76"/>
      <c r="B686" s="54"/>
      <c r="C686" s="54"/>
      <c r="D686" s="54"/>
      <c r="E686" s="54"/>
      <c r="F686" s="54"/>
      <c r="G686" s="54"/>
      <c r="H686" s="54"/>
      <c r="I686" s="54"/>
    </row>
    <row r="687">
      <c r="A687" s="76"/>
      <c r="B687" s="54"/>
      <c r="C687" s="54"/>
      <c r="D687" s="54"/>
      <c r="E687" s="54"/>
      <c r="F687" s="54"/>
      <c r="G687" s="54"/>
      <c r="H687" s="54"/>
      <c r="I687" s="54"/>
    </row>
    <row r="688">
      <c r="A688" s="76"/>
      <c r="B688" s="54"/>
      <c r="C688" s="54"/>
      <c r="D688" s="54"/>
      <c r="E688" s="54"/>
      <c r="F688" s="54"/>
      <c r="G688" s="54"/>
      <c r="H688" s="54"/>
      <c r="I688" s="54"/>
    </row>
    <row r="689">
      <c r="A689" s="76"/>
      <c r="B689" s="54"/>
      <c r="C689" s="54"/>
      <c r="D689" s="54"/>
      <c r="E689" s="54"/>
      <c r="F689" s="54"/>
      <c r="G689" s="54"/>
      <c r="H689" s="54"/>
      <c r="I689" s="54"/>
    </row>
    <row r="690">
      <c r="A690" s="76"/>
      <c r="B690" s="54"/>
      <c r="C690" s="54"/>
      <c r="D690" s="54"/>
      <c r="E690" s="54"/>
      <c r="F690" s="54"/>
      <c r="G690" s="54"/>
      <c r="H690" s="54"/>
      <c r="I690" s="54"/>
    </row>
    <row r="691">
      <c r="A691" s="76"/>
      <c r="B691" s="54"/>
      <c r="C691" s="54"/>
      <c r="D691" s="54"/>
      <c r="E691" s="54"/>
      <c r="F691" s="54"/>
      <c r="G691" s="54"/>
      <c r="H691" s="54"/>
      <c r="I691" s="54"/>
    </row>
    <row r="692">
      <c r="A692" s="76"/>
      <c r="B692" s="54"/>
      <c r="C692" s="54"/>
      <c r="D692" s="54"/>
      <c r="E692" s="54"/>
      <c r="F692" s="54"/>
      <c r="G692" s="54"/>
      <c r="H692" s="54"/>
      <c r="I692" s="54"/>
    </row>
    <row r="693">
      <c r="A693" s="76"/>
      <c r="B693" s="54"/>
      <c r="C693" s="54"/>
      <c r="D693" s="54"/>
      <c r="E693" s="54"/>
      <c r="F693" s="54"/>
      <c r="G693" s="54"/>
      <c r="H693" s="54"/>
      <c r="I693" s="54"/>
    </row>
    <row r="694">
      <c r="A694" s="76"/>
      <c r="B694" s="54"/>
      <c r="C694" s="54"/>
      <c r="D694" s="54"/>
      <c r="E694" s="54"/>
      <c r="F694" s="54"/>
      <c r="G694" s="54"/>
      <c r="H694" s="54"/>
      <c r="I694" s="54"/>
    </row>
    <row r="695">
      <c r="A695" s="76"/>
      <c r="B695" s="54"/>
      <c r="C695" s="54"/>
      <c r="D695" s="54"/>
      <c r="E695" s="54"/>
      <c r="F695" s="54"/>
      <c r="G695" s="54"/>
      <c r="H695" s="54"/>
      <c r="I695" s="54"/>
    </row>
    <row r="696">
      <c r="A696" s="76"/>
      <c r="B696" s="54"/>
      <c r="C696" s="54"/>
      <c r="D696" s="54"/>
      <c r="E696" s="54"/>
      <c r="F696" s="54"/>
      <c r="G696" s="54"/>
      <c r="H696" s="54"/>
      <c r="I696" s="54"/>
    </row>
    <row r="697">
      <c r="A697" s="76"/>
      <c r="B697" s="54"/>
      <c r="C697" s="54"/>
      <c r="D697" s="54"/>
      <c r="E697" s="54"/>
      <c r="F697" s="54"/>
      <c r="G697" s="54"/>
      <c r="H697" s="54"/>
      <c r="I697" s="54"/>
    </row>
    <row r="698">
      <c r="A698" s="76"/>
      <c r="B698" s="54"/>
      <c r="C698" s="54"/>
      <c r="D698" s="54"/>
      <c r="E698" s="54"/>
      <c r="F698" s="54"/>
      <c r="G698" s="54"/>
      <c r="H698" s="54"/>
      <c r="I698" s="54"/>
    </row>
    <row r="699">
      <c r="A699" s="76"/>
      <c r="B699" s="54"/>
      <c r="C699" s="54"/>
      <c r="D699" s="54"/>
      <c r="E699" s="54"/>
      <c r="F699" s="54"/>
      <c r="G699" s="54"/>
      <c r="H699" s="54"/>
      <c r="I699" s="54"/>
    </row>
    <row r="700">
      <c r="A700" s="76"/>
      <c r="B700" s="54"/>
      <c r="C700" s="54"/>
      <c r="D700" s="54"/>
      <c r="E700" s="54"/>
      <c r="F700" s="54"/>
      <c r="G700" s="54"/>
      <c r="H700" s="54"/>
      <c r="I700" s="54"/>
    </row>
    <row r="701">
      <c r="A701" s="76"/>
      <c r="B701" s="54"/>
      <c r="C701" s="54"/>
      <c r="D701" s="54"/>
      <c r="E701" s="54"/>
      <c r="F701" s="54"/>
      <c r="G701" s="54"/>
      <c r="H701" s="54"/>
      <c r="I701" s="54"/>
    </row>
    <row r="702">
      <c r="A702" s="76"/>
      <c r="B702" s="54"/>
      <c r="C702" s="54"/>
      <c r="D702" s="54"/>
      <c r="E702" s="54"/>
      <c r="F702" s="54"/>
      <c r="G702" s="54"/>
      <c r="H702" s="54"/>
      <c r="I702" s="54"/>
    </row>
    <row r="703">
      <c r="A703" s="76"/>
      <c r="B703" s="54"/>
      <c r="C703" s="54"/>
      <c r="D703" s="54"/>
      <c r="E703" s="54"/>
      <c r="F703" s="54"/>
      <c r="G703" s="54"/>
      <c r="H703" s="54"/>
      <c r="I703" s="54"/>
    </row>
    <row r="704">
      <c r="A704" s="76"/>
      <c r="B704" s="54"/>
      <c r="C704" s="54"/>
      <c r="D704" s="54"/>
      <c r="E704" s="54"/>
      <c r="F704" s="54"/>
      <c r="G704" s="54"/>
      <c r="H704" s="54"/>
      <c r="I704" s="54"/>
    </row>
    <row r="705">
      <c r="A705" s="76"/>
      <c r="B705" s="54"/>
      <c r="C705" s="54"/>
      <c r="D705" s="54"/>
      <c r="E705" s="54"/>
      <c r="F705" s="54"/>
      <c r="G705" s="54"/>
      <c r="H705" s="54"/>
      <c r="I705" s="54"/>
    </row>
    <row r="706">
      <c r="A706" s="76"/>
      <c r="B706" s="54"/>
      <c r="C706" s="54"/>
      <c r="D706" s="54"/>
      <c r="E706" s="54"/>
      <c r="F706" s="54"/>
      <c r="G706" s="54"/>
      <c r="H706" s="54"/>
      <c r="I706" s="54"/>
    </row>
    <row r="707">
      <c r="A707" s="76"/>
      <c r="B707" s="54"/>
      <c r="C707" s="54"/>
      <c r="D707" s="54"/>
      <c r="E707" s="54"/>
      <c r="F707" s="54"/>
      <c r="G707" s="54"/>
      <c r="H707" s="54"/>
      <c r="I707" s="54"/>
    </row>
    <row r="708">
      <c r="A708" s="76"/>
      <c r="B708" s="54"/>
      <c r="C708" s="54"/>
      <c r="D708" s="54"/>
      <c r="E708" s="54"/>
      <c r="F708" s="54"/>
      <c r="G708" s="54"/>
      <c r="H708" s="54"/>
      <c r="I708" s="54"/>
    </row>
    <row r="709">
      <c r="A709" s="76"/>
      <c r="B709" s="54"/>
      <c r="C709" s="54"/>
      <c r="D709" s="54"/>
      <c r="E709" s="54"/>
      <c r="F709" s="54"/>
      <c r="G709" s="54"/>
      <c r="H709" s="54"/>
      <c r="I709" s="54"/>
    </row>
    <row r="710">
      <c r="A710" s="76"/>
      <c r="B710" s="54"/>
      <c r="C710" s="54"/>
      <c r="D710" s="54"/>
      <c r="E710" s="54"/>
      <c r="F710" s="54"/>
      <c r="G710" s="54"/>
      <c r="H710" s="54"/>
      <c r="I710" s="54"/>
    </row>
    <row r="711">
      <c r="A711" s="76"/>
      <c r="B711" s="54"/>
      <c r="C711" s="54"/>
      <c r="D711" s="54"/>
      <c r="E711" s="54"/>
      <c r="F711" s="54"/>
      <c r="G711" s="54"/>
      <c r="H711" s="54"/>
      <c r="I711" s="54"/>
    </row>
    <row r="712">
      <c r="A712" s="76"/>
      <c r="B712" s="54"/>
      <c r="C712" s="54"/>
      <c r="D712" s="54"/>
      <c r="E712" s="54"/>
      <c r="F712" s="54"/>
      <c r="G712" s="54"/>
      <c r="H712" s="54"/>
      <c r="I712" s="54"/>
    </row>
    <row r="713">
      <c r="A713" s="76"/>
      <c r="B713" s="54"/>
      <c r="C713" s="54"/>
      <c r="D713" s="54"/>
      <c r="E713" s="54"/>
      <c r="F713" s="54"/>
      <c r="G713" s="54"/>
      <c r="H713" s="54"/>
      <c r="I713" s="54"/>
    </row>
    <row r="714">
      <c r="A714" s="76"/>
      <c r="B714" s="54"/>
      <c r="C714" s="54"/>
      <c r="D714" s="54"/>
      <c r="E714" s="54"/>
      <c r="F714" s="54"/>
      <c r="G714" s="54"/>
      <c r="H714" s="54"/>
      <c r="I714" s="54"/>
    </row>
    <row r="715">
      <c r="A715" s="76"/>
      <c r="B715" s="54"/>
      <c r="C715" s="54"/>
      <c r="D715" s="54"/>
      <c r="E715" s="54"/>
      <c r="F715" s="54"/>
      <c r="G715" s="54"/>
      <c r="H715" s="54"/>
      <c r="I715" s="54"/>
    </row>
    <row r="716">
      <c r="A716" s="76"/>
      <c r="B716" s="54"/>
      <c r="C716" s="54"/>
      <c r="D716" s="54"/>
      <c r="E716" s="54"/>
      <c r="F716" s="54"/>
      <c r="G716" s="54"/>
      <c r="H716" s="54"/>
      <c r="I716" s="54"/>
    </row>
    <row r="717">
      <c r="A717" s="76"/>
      <c r="B717" s="54"/>
      <c r="C717" s="54"/>
      <c r="D717" s="54"/>
      <c r="E717" s="54"/>
      <c r="F717" s="54"/>
      <c r="G717" s="54"/>
      <c r="H717" s="54"/>
      <c r="I717" s="54"/>
    </row>
    <row r="718">
      <c r="A718" s="76"/>
      <c r="B718" s="54"/>
      <c r="C718" s="54"/>
      <c r="D718" s="54"/>
      <c r="E718" s="54"/>
      <c r="F718" s="54"/>
      <c r="G718" s="54"/>
      <c r="H718" s="54"/>
      <c r="I718" s="54"/>
    </row>
    <row r="719">
      <c r="A719" s="76"/>
      <c r="B719" s="54"/>
      <c r="C719" s="54"/>
      <c r="D719" s="54"/>
      <c r="E719" s="54"/>
      <c r="F719" s="54"/>
      <c r="G719" s="54"/>
      <c r="H719" s="54"/>
      <c r="I719" s="54"/>
    </row>
    <row r="720">
      <c r="A720" s="76"/>
      <c r="B720" s="54"/>
      <c r="C720" s="54"/>
      <c r="D720" s="54"/>
      <c r="E720" s="54"/>
      <c r="F720" s="54"/>
      <c r="G720" s="54"/>
      <c r="H720" s="54"/>
      <c r="I720" s="54"/>
    </row>
    <row r="721">
      <c r="A721" s="76"/>
      <c r="B721" s="54"/>
      <c r="C721" s="54"/>
      <c r="D721" s="54"/>
      <c r="E721" s="54"/>
      <c r="F721" s="54"/>
      <c r="G721" s="54"/>
      <c r="H721" s="54"/>
      <c r="I721" s="54"/>
    </row>
    <row r="722">
      <c r="A722" s="76"/>
      <c r="B722" s="54"/>
      <c r="C722" s="54"/>
      <c r="D722" s="54"/>
      <c r="E722" s="54"/>
      <c r="F722" s="54"/>
      <c r="G722" s="54"/>
      <c r="H722" s="54"/>
      <c r="I722" s="54"/>
    </row>
    <row r="723">
      <c r="A723" s="76"/>
      <c r="B723" s="54"/>
      <c r="C723" s="54"/>
      <c r="D723" s="54"/>
      <c r="E723" s="54"/>
      <c r="F723" s="54"/>
      <c r="G723" s="54"/>
      <c r="H723" s="54"/>
      <c r="I723" s="54"/>
    </row>
    <row r="724">
      <c r="A724" s="76"/>
      <c r="B724" s="54"/>
      <c r="C724" s="54"/>
      <c r="D724" s="54"/>
      <c r="E724" s="54"/>
      <c r="F724" s="54"/>
      <c r="G724" s="54"/>
      <c r="H724" s="54"/>
      <c r="I724" s="54"/>
    </row>
    <row r="725">
      <c r="A725" s="76"/>
      <c r="B725" s="54"/>
      <c r="C725" s="54"/>
      <c r="D725" s="54"/>
      <c r="E725" s="54"/>
      <c r="F725" s="54"/>
      <c r="G725" s="54"/>
      <c r="H725" s="54"/>
      <c r="I725" s="54"/>
    </row>
    <row r="726">
      <c r="A726" s="76"/>
      <c r="B726" s="54"/>
      <c r="C726" s="54"/>
      <c r="D726" s="54"/>
      <c r="E726" s="54"/>
      <c r="F726" s="54"/>
      <c r="G726" s="54"/>
      <c r="H726" s="54"/>
      <c r="I726" s="54"/>
    </row>
    <row r="727">
      <c r="A727" s="76"/>
      <c r="B727" s="54"/>
      <c r="C727" s="54"/>
      <c r="D727" s="54"/>
      <c r="E727" s="54"/>
      <c r="F727" s="54"/>
      <c r="G727" s="54"/>
      <c r="H727" s="54"/>
      <c r="I727" s="54"/>
    </row>
    <row r="728">
      <c r="A728" s="76"/>
      <c r="B728" s="54"/>
      <c r="C728" s="54"/>
      <c r="D728" s="54"/>
      <c r="E728" s="54"/>
      <c r="F728" s="54"/>
      <c r="G728" s="54"/>
      <c r="H728" s="54"/>
      <c r="I728" s="54"/>
    </row>
    <row r="729">
      <c r="A729" s="76"/>
      <c r="B729" s="54"/>
      <c r="C729" s="54"/>
      <c r="D729" s="54"/>
      <c r="E729" s="54"/>
      <c r="F729" s="54"/>
      <c r="G729" s="54"/>
      <c r="H729" s="54"/>
      <c r="I729" s="54"/>
    </row>
    <row r="730">
      <c r="A730" s="76"/>
      <c r="B730" s="54"/>
      <c r="C730" s="54"/>
      <c r="D730" s="54"/>
      <c r="E730" s="54"/>
      <c r="F730" s="54"/>
      <c r="G730" s="54"/>
      <c r="H730" s="54"/>
      <c r="I730" s="54"/>
    </row>
    <row r="731">
      <c r="A731" s="76"/>
      <c r="B731" s="54"/>
      <c r="C731" s="54"/>
      <c r="D731" s="54"/>
      <c r="E731" s="54"/>
      <c r="F731" s="54"/>
      <c r="G731" s="54"/>
      <c r="H731" s="54"/>
      <c r="I731" s="54"/>
    </row>
    <row r="732">
      <c r="A732" s="76"/>
      <c r="B732" s="54"/>
      <c r="C732" s="54"/>
      <c r="D732" s="54"/>
      <c r="E732" s="54"/>
      <c r="F732" s="54"/>
      <c r="G732" s="54"/>
      <c r="H732" s="54"/>
      <c r="I732" s="54"/>
    </row>
    <row r="733">
      <c r="A733" s="76"/>
      <c r="B733" s="54"/>
      <c r="C733" s="54"/>
      <c r="D733" s="54"/>
      <c r="E733" s="54"/>
      <c r="F733" s="54"/>
      <c r="G733" s="54"/>
      <c r="H733" s="54"/>
      <c r="I733" s="54"/>
    </row>
    <row r="734">
      <c r="A734" s="76"/>
      <c r="B734" s="54"/>
      <c r="C734" s="54"/>
      <c r="D734" s="54"/>
      <c r="E734" s="54"/>
      <c r="F734" s="54"/>
      <c r="G734" s="54"/>
      <c r="H734" s="54"/>
      <c r="I734" s="54"/>
    </row>
    <row r="735">
      <c r="A735" s="76"/>
      <c r="B735" s="54"/>
      <c r="C735" s="54"/>
      <c r="D735" s="54"/>
      <c r="E735" s="54"/>
      <c r="F735" s="54"/>
      <c r="G735" s="54"/>
      <c r="H735" s="54"/>
      <c r="I735" s="54"/>
    </row>
    <row r="736">
      <c r="A736" s="76"/>
      <c r="B736" s="54"/>
      <c r="C736" s="54"/>
      <c r="D736" s="54"/>
      <c r="E736" s="54"/>
      <c r="F736" s="54"/>
      <c r="G736" s="54"/>
      <c r="H736" s="54"/>
      <c r="I736" s="54"/>
    </row>
    <row r="737">
      <c r="A737" s="76"/>
      <c r="B737" s="54"/>
      <c r="C737" s="54"/>
      <c r="D737" s="54"/>
      <c r="E737" s="54"/>
      <c r="F737" s="54"/>
      <c r="G737" s="54"/>
      <c r="H737" s="54"/>
      <c r="I737" s="54"/>
    </row>
    <row r="738">
      <c r="A738" s="76"/>
      <c r="B738" s="54"/>
      <c r="C738" s="54"/>
      <c r="D738" s="54"/>
      <c r="E738" s="54"/>
      <c r="F738" s="54"/>
      <c r="G738" s="54"/>
      <c r="H738" s="54"/>
      <c r="I738" s="54"/>
    </row>
    <row r="739">
      <c r="A739" s="76"/>
      <c r="B739" s="54"/>
      <c r="C739" s="54"/>
      <c r="D739" s="54"/>
      <c r="E739" s="54"/>
      <c r="F739" s="54"/>
      <c r="G739" s="54"/>
      <c r="H739" s="54"/>
      <c r="I739" s="54"/>
    </row>
    <row r="740">
      <c r="A740" s="76"/>
      <c r="B740" s="54"/>
      <c r="C740" s="54"/>
      <c r="D740" s="54"/>
      <c r="E740" s="54"/>
      <c r="F740" s="54"/>
      <c r="G740" s="54"/>
      <c r="H740" s="54"/>
      <c r="I740" s="54"/>
    </row>
    <row r="741">
      <c r="A741" s="76"/>
      <c r="B741" s="54"/>
      <c r="C741" s="54"/>
      <c r="D741" s="54"/>
      <c r="E741" s="54"/>
      <c r="F741" s="54"/>
      <c r="G741" s="54"/>
      <c r="H741" s="54"/>
      <c r="I741" s="54"/>
    </row>
    <row r="742">
      <c r="A742" s="76"/>
      <c r="B742" s="54"/>
      <c r="C742" s="54"/>
      <c r="D742" s="54"/>
      <c r="E742" s="54"/>
      <c r="F742" s="54"/>
      <c r="G742" s="54"/>
      <c r="H742" s="54"/>
      <c r="I742" s="54"/>
    </row>
    <row r="743">
      <c r="A743" s="76"/>
      <c r="B743" s="54"/>
      <c r="C743" s="54"/>
      <c r="D743" s="54"/>
      <c r="E743" s="54"/>
      <c r="F743" s="54"/>
      <c r="G743" s="54"/>
      <c r="H743" s="54"/>
      <c r="I743" s="54"/>
    </row>
    <row r="744">
      <c r="A744" s="76"/>
      <c r="B744" s="54"/>
      <c r="C744" s="54"/>
      <c r="D744" s="54"/>
      <c r="E744" s="54"/>
      <c r="F744" s="54"/>
      <c r="G744" s="54"/>
      <c r="H744" s="54"/>
      <c r="I744" s="54"/>
    </row>
    <row r="745">
      <c r="A745" s="76"/>
      <c r="B745" s="54"/>
      <c r="C745" s="54"/>
      <c r="D745" s="54"/>
      <c r="E745" s="54"/>
      <c r="F745" s="54"/>
      <c r="G745" s="54"/>
      <c r="H745" s="54"/>
      <c r="I745" s="54"/>
    </row>
    <row r="746">
      <c r="A746" s="76"/>
      <c r="B746" s="54"/>
      <c r="C746" s="54"/>
      <c r="D746" s="54"/>
      <c r="E746" s="54"/>
      <c r="F746" s="54"/>
      <c r="G746" s="54"/>
      <c r="H746" s="54"/>
      <c r="I746" s="54"/>
    </row>
    <row r="747">
      <c r="A747" s="76"/>
      <c r="B747" s="54"/>
      <c r="C747" s="54"/>
      <c r="D747" s="54"/>
      <c r="E747" s="54"/>
      <c r="F747" s="54"/>
      <c r="G747" s="54"/>
      <c r="H747" s="54"/>
      <c r="I747" s="54"/>
    </row>
    <row r="748">
      <c r="A748" s="76"/>
      <c r="B748" s="54"/>
      <c r="C748" s="54"/>
      <c r="D748" s="54"/>
      <c r="E748" s="54"/>
      <c r="F748" s="54"/>
      <c r="G748" s="54"/>
      <c r="H748" s="54"/>
      <c r="I748" s="54"/>
    </row>
    <row r="749">
      <c r="A749" s="76"/>
      <c r="B749" s="54"/>
      <c r="C749" s="54"/>
      <c r="D749" s="54"/>
      <c r="E749" s="54"/>
      <c r="F749" s="54"/>
      <c r="G749" s="54"/>
      <c r="H749" s="54"/>
      <c r="I749" s="54"/>
    </row>
    <row r="750">
      <c r="A750" s="76"/>
      <c r="B750" s="54"/>
      <c r="C750" s="54"/>
      <c r="D750" s="54"/>
      <c r="E750" s="54"/>
      <c r="F750" s="54"/>
      <c r="G750" s="54"/>
      <c r="H750" s="54"/>
      <c r="I750" s="54"/>
    </row>
    <row r="751">
      <c r="A751" s="76"/>
      <c r="B751" s="54"/>
      <c r="C751" s="54"/>
      <c r="D751" s="54"/>
      <c r="E751" s="54"/>
      <c r="F751" s="54"/>
      <c r="G751" s="54"/>
      <c r="H751" s="54"/>
      <c r="I751" s="54"/>
    </row>
    <row r="752">
      <c r="A752" s="76"/>
      <c r="B752" s="54"/>
      <c r="C752" s="54"/>
      <c r="D752" s="54"/>
      <c r="E752" s="54"/>
      <c r="F752" s="54"/>
      <c r="G752" s="54"/>
      <c r="H752" s="54"/>
      <c r="I752" s="54"/>
    </row>
    <row r="753">
      <c r="A753" s="76"/>
      <c r="B753" s="54"/>
      <c r="C753" s="54"/>
      <c r="D753" s="54"/>
      <c r="E753" s="54"/>
      <c r="F753" s="54"/>
      <c r="G753" s="54"/>
      <c r="H753" s="54"/>
      <c r="I753" s="54"/>
    </row>
    <row r="754">
      <c r="A754" s="76"/>
      <c r="B754" s="54"/>
      <c r="C754" s="54"/>
      <c r="D754" s="54"/>
      <c r="E754" s="54"/>
      <c r="F754" s="54"/>
      <c r="G754" s="54"/>
      <c r="H754" s="54"/>
      <c r="I754" s="54"/>
    </row>
    <row r="755">
      <c r="A755" s="76"/>
      <c r="B755" s="54"/>
      <c r="C755" s="54"/>
      <c r="D755" s="54"/>
      <c r="E755" s="54"/>
      <c r="F755" s="54"/>
      <c r="G755" s="54"/>
      <c r="H755" s="54"/>
      <c r="I755" s="54"/>
    </row>
    <row r="756">
      <c r="A756" s="76"/>
      <c r="B756" s="54"/>
      <c r="C756" s="54"/>
      <c r="D756" s="54"/>
      <c r="E756" s="54"/>
      <c r="F756" s="54"/>
      <c r="G756" s="54"/>
      <c r="H756" s="54"/>
      <c r="I756" s="54"/>
    </row>
    <row r="757">
      <c r="A757" s="76"/>
      <c r="B757" s="54"/>
      <c r="C757" s="54"/>
      <c r="D757" s="54"/>
      <c r="E757" s="54"/>
      <c r="F757" s="54"/>
      <c r="G757" s="54"/>
      <c r="H757" s="54"/>
      <c r="I757" s="54"/>
    </row>
    <row r="758">
      <c r="A758" s="76"/>
      <c r="B758" s="54"/>
      <c r="C758" s="54"/>
      <c r="D758" s="54"/>
      <c r="E758" s="54"/>
      <c r="F758" s="54"/>
      <c r="G758" s="54"/>
      <c r="H758" s="54"/>
      <c r="I758" s="54"/>
    </row>
    <row r="759">
      <c r="A759" s="76"/>
      <c r="B759" s="54"/>
      <c r="C759" s="54"/>
      <c r="D759" s="54"/>
      <c r="E759" s="54"/>
      <c r="F759" s="54"/>
      <c r="G759" s="54"/>
      <c r="H759" s="54"/>
      <c r="I759" s="54"/>
    </row>
    <row r="760">
      <c r="A760" s="76"/>
      <c r="B760" s="54"/>
      <c r="C760" s="54"/>
      <c r="D760" s="54"/>
      <c r="E760" s="54"/>
      <c r="F760" s="54"/>
      <c r="G760" s="54"/>
      <c r="H760" s="54"/>
      <c r="I760" s="54"/>
    </row>
    <row r="761">
      <c r="A761" s="76"/>
      <c r="B761" s="54"/>
      <c r="C761" s="54"/>
      <c r="D761" s="54"/>
      <c r="E761" s="54"/>
      <c r="F761" s="54"/>
      <c r="G761" s="54"/>
      <c r="H761" s="54"/>
      <c r="I761" s="54"/>
    </row>
    <row r="762">
      <c r="A762" s="76"/>
      <c r="B762" s="54"/>
      <c r="C762" s="54"/>
      <c r="D762" s="54"/>
      <c r="E762" s="54"/>
      <c r="F762" s="54"/>
      <c r="G762" s="54"/>
      <c r="H762" s="54"/>
      <c r="I762" s="54"/>
    </row>
    <row r="763">
      <c r="A763" s="76"/>
      <c r="B763" s="54"/>
      <c r="C763" s="54"/>
      <c r="D763" s="54"/>
      <c r="E763" s="54"/>
      <c r="F763" s="54"/>
      <c r="G763" s="54"/>
      <c r="H763" s="54"/>
      <c r="I763" s="54"/>
    </row>
    <row r="764">
      <c r="A764" s="76"/>
      <c r="B764" s="54"/>
      <c r="C764" s="54"/>
      <c r="D764" s="54"/>
      <c r="E764" s="54"/>
      <c r="F764" s="54"/>
      <c r="G764" s="54"/>
      <c r="H764" s="54"/>
      <c r="I764" s="54"/>
    </row>
    <row r="765">
      <c r="A765" s="76"/>
      <c r="B765" s="54"/>
      <c r="C765" s="54"/>
      <c r="D765" s="54"/>
      <c r="E765" s="54"/>
      <c r="F765" s="54"/>
      <c r="G765" s="54"/>
      <c r="H765" s="54"/>
      <c r="I765" s="54"/>
    </row>
    <row r="766">
      <c r="A766" s="76"/>
      <c r="B766" s="54"/>
      <c r="C766" s="54"/>
      <c r="D766" s="54"/>
      <c r="E766" s="54"/>
      <c r="F766" s="54"/>
      <c r="G766" s="54"/>
      <c r="H766" s="54"/>
      <c r="I766" s="54"/>
    </row>
    <row r="767">
      <c r="A767" s="76"/>
      <c r="B767" s="54"/>
      <c r="C767" s="54"/>
      <c r="D767" s="54"/>
      <c r="E767" s="54"/>
      <c r="F767" s="54"/>
      <c r="G767" s="54"/>
      <c r="H767" s="54"/>
      <c r="I767" s="54"/>
    </row>
    <row r="768">
      <c r="A768" s="76"/>
      <c r="B768" s="54"/>
      <c r="C768" s="54"/>
      <c r="D768" s="54"/>
      <c r="E768" s="54"/>
      <c r="F768" s="54"/>
      <c r="G768" s="54"/>
      <c r="H768" s="54"/>
      <c r="I768" s="54"/>
    </row>
    <row r="769">
      <c r="A769" s="76"/>
      <c r="B769" s="54"/>
      <c r="C769" s="54"/>
      <c r="D769" s="54"/>
      <c r="E769" s="54"/>
      <c r="F769" s="54"/>
      <c r="G769" s="54"/>
      <c r="H769" s="54"/>
      <c r="I769" s="54"/>
    </row>
    <row r="770">
      <c r="A770" s="76"/>
      <c r="B770" s="54"/>
      <c r="C770" s="54"/>
      <c r="D770" s="54"/>
      <c r="E770" s="54"/>
      <c r="F770" s="54"/>
      <c r="G770" s="54"/>
      <c r="H770" s="54"/>
      <c r="I770" s="54"/>
    </row>
    <row r="771">
      <c r="A771" s="76"/>
      <c r="B771" s="54"/>
      <c r="C771" s="54"/>
      <c r="D771" s="54"/>
      <c r="E771" s="54"/>
      <c r="F771" s="54"/>
      <c r="G771" s="54"/>
      <c r="H771" s="54"/>
      <c r="I771" s="54"/>
    </row>
    <row r="772">
      <c r="A772" s="76"/>
      <c r="B772" s="54"/>
      <c r="C772" s="54"/>
      <c r="D772" s="54"/>
      <c r="E772" s="54"/>
      <c r="F772" s="54"/>
      <c r="G772" s="54"/>
      <c r="H772" s="54"/>
      <c r="I772" s="54"/>
    </row>
    <row r="773">
      <c r="A773" s="76"/>
      <c r="B773" s="54"/>
      <c r="C773" s="54"/>
      <c r="D773" s="54"/>
      <c r="E773" s="54"/>
      <c r="F773" s="54"/>
      <c r="G773" s="54"/>
      <c r="H773" s="54"/>
      <c r="I773" s="54"/>
    </row>
    <row r="774">
      <c r="A774" s="76"/>
      <c r="B774" s="54"/>
      <c r="C774" s="54"/>
      <c r="D774" s="54"/>
      <c r="E774" s="54"/>
      <c r="F774" s="54"/>
      <c r="G774" s="54"/>
      <c r="H774" s="54"/>
      <c r="I774" s="54"/>
    </row>
    <row r="775">
      <c r="A775" s="76"/>
      <c r="B775" s="54"/>
      <c r="C775" s="54"/>
      <c r="D775" s="54"/>
      <c r="E775" s="54"/>
      <c r="F775" s="54"/>
      <c r="G775" s="54"/>
      <c r="H775" s="54"/>
      <c r="I775" s="54"/>
    </row>
    <row r="776">
      <c r="A776" s="76"/>
      <c r="B776" s="54"/>
      <c r="C776" s="54"/>
      <c r="D776" s="54"/>
      <c r="E776" s="54"/>
      <c r="F776" s="54"/>
      <c r="G776" s="54"/>
      <c r="H776" s="54"/>
      <c r="I776" s="54"/>
    </row>
    <row r="777">
      <c r="A777" s="76"/>
      <c r="B777" s="54"/>
      <c r="C777" s="54"/>
      <c r="D777" s="54"/>
      <c r="E777" s="54"/>
      <c r="F777" s="54"/>
      <c r="G777" s="54"/>
      <c r="H777" s="54"/>
      <c r="I777" s="54"/>
    </row>
    <row r="778">
      <c r="A778" s="76"/>
      <c r="B778" s="54"/>
      <c r="C778" s="54"/>
      <c r="D778" s="54"/>
      <c r="E778" s="54"/>
      <c r="F778" s="54"/>
      <c r="G778" s="54"/>
      <c r="H778" s="54"/>
      <c r="I778" s="54"/>
    </row>
    <row r="779">
      <c r="A779" s="76"/>
      <c r="B779" s="54"/>
      <c r="C779" s="54"/>
      <c r="D779" s="54"/>
      <c r="E779" s="54"/>
      <c r="F779" s="54"/>
      <c r="G779" s="54"/>
      <c r="H779" s="54"/>
      <c r="I779" s="54"/>
    </row>
    <row r="780">
      <c r="A780" s="76"/>
      <c r="B780" s="54"/>
      <c r="C780" s="54"/>
      <c r="D780" s="54"/>
      <c r="E780" s="54"/>
      <c r="F780" s="54"/>
      <c r="G780" s="54"/>
      <c r="H780" s="54"/>
      <c r="I780" s="54"/>
    </row>
    <row r="781">
      <c r="A781" s="76"/>
      <c r="B781" s="54"/>
      <c r="C781" s="54"/>
      <c r="D781" s="54"/>
      <c r="E781" s="54"/>
      <c r="F781" s="54"/>
      <c r="G781" s="54"/>
      <c r="H781" s="54"/>
      <c r="I781" s="54"/>
    </row>
    <row r="782">
      <c r="A782" s="76"/>
      <c r="B782" s="54"/>
      <c r="C782" s="54"/>
      <c r="D782" s="54"/>
      <c r="E782" s="54"/>
      <c r="F782" s="54"/>
      <c r="G782" s="54"/>
      <c r="H782" s="54"/>
      <c r="I782" s="54"/>
    </row>
    <row r="783">
      <c r="A783" s="76"/>
      <c r="B783" s="54"/>
      <c r="C783" s="54"/>
      <c r="D783" s="54"/>
      <c r="E783" s="54"/>
      <c r="F783" s="54"/>
      <c r="G783" s="54"/>
      <c r="H783" s="54"/>
      <c r="I783" s="54"/>
    </row>
    <row r="784">
      <c r="A784" s="76"/>
      <c r="B784" s="54"/>
      <c r="C784" s="54"/>
      <c r="D784" s="54"/>
      <c r="E784" s="54"/>
      <c r="F784" s="54"/>
      <c r="G784" s="54"/>
      <c r="H784" s="54"/>
      <c r="I784" s="54"/>
    </row>
    <row r="785">
      <c r="A785" s="76"/>
      <c r="B785" s="54"/>
      <c r="C785" s="54"/>
      <c r="D785" s="54"/>
      <c r="E785" s="54"/>
      <c r="F785" s="54"/>
      <c r="G785" s="54"/>
      <c r="H785" s="54"/>
      <c r="I785" s="54"/>
    </row>
    <row r="786">
      <c r="A786" s="76"/>
      <c r="B786" s="54"/>
      <c r="C786" s="54"/>
      <c r="D786" s="54"/>
      <c r="E786" s="54"/>
      <c r="F786" s="54"/>
      <c r="G786" s="54"/>
      <c r="H786" s="54"/>
      <c r="I786" s="54"/>
    </row>
    <row r="787">
      <c r="A787" s="76"/>
      <c r="B787" s="54"/>
      <c r="C787" s="54"/>
      <c r="D787" s="54"/>
      <c r="E787" s="54"/>
      <c r="F787" s="54"/>
      <c r="G787" s="54"/>
      <c r="H787" s="54"/>
      <c r="I787" s="54"/>
    </row>
    <row r="788">
      <c r="A788" s="76"/>
      <c r="B788" s="54"/>
      <c r="C788" s="54"/>
      <c r="D788" s="54"/>
      <c r="E788" s="54"/>
      <c r="F788" s="54"/>
      <c r="G788" s="54"/>
      <c r="H788" s="54"/>
      <c r="I788" s="54"/>
    </row>
    <row r="789">
      <c r="A789" s="76"/>
      <c r="B789" s="54"/>
      <c r="C789" s="54"/>
      <c r="D789" s="54"/>
      <c r="E789" s="54"/>
      <c r="F789" s="54"/>
      <c r="G789" s="54"/>
      <c r="H789" s="54"/>
      <c r="I789" s="54"/>
    </row>
    <row r="790">
      <c r="A790" s="76"/>
      <c r="B790" s="54"/>
      <c r="C790" s="54"/>
      <c r="D790" s="54"/>
      <c r="E790" s="54"/>
      <c r="F790" s="54"/>
      <c r="G790" s="54"/>
      <c r="H790" s="54"/>
      <c r="I790" s="54"/>
    </row>
    <row r="791">
      <c r="A791" s="76"/>
      <c r="B791" s="54"/>
      <c r="C791" s="54"/>
      <c r="D791" s="54"/>
      <c r="E791" s="54"/>
      <c r="F791" s="54"/>
      <c r="G791" s="54"/>
      <c r="H791" s="54"/>
      <c r="I791" s="54"/>
    </row>
    <row r="792">
      <c r="A792" s="76"/>
      <c r="B792" s="54"/>
      <c r="C792" s="54"/>
      <c r="D792" s="54"/>
      <c r="E792" s="54"/>
      <c r="F792" s="54"/>
      <c r="G792" s="54"/>
      <c r="H792" s="54"/>
      <c r="I792" s="54"/>
    </row>
    <row r="793">
      <c r="A793" s="76"/>
      <c r="B793" s="54"/>
      <c r="C793" s="54"/>
      <c r="D793" s="54"/>
      <c r="E793" s="54"/>
      <c r="F793" s="54"/>
      <c r="G793" s="54"/>
      <c r="H793" s="54"/>
      <c r="I793" s="54"/>
    </row>
    <row r="794">
      <c r="A794" s="76"/>
      <c r="B794" s="54"/>
      <c r="C794" s="54"/>
      <c r="D794" s="54"/>
      <c r="E794" s="54"/>
      <c r="F794" s="54"/>
      <c r="G794" s="54"/>
      <c r="H794" s="54"/>
      <c r="I794" s="54"/>
    </row>
    <row r="795">
      <c r="A795" s="76"/>
      <c r="B795" s="54"/>
      <c r="C795" s="54"/>
      <c r="D795" s="54"/>
      <c r="E795" s="54"/>
      <c r="F795" s="54"/>
      <c r="G795" s="54"/>
      <c r="H795" s="54"/>
      <c r="I795" s="54"/>
    </row>
    <row r="796">
      <c r="A796" s="76"/>
      <c r="B796" s="54"/>
      <c r="C796" s="54"/>
      <c r="D796" s="54"/>
      <c r="E796" s="54"/>
      <c r="F796" s="54"/>
      <c r="G796" s="54"/>
      <c r="H796" s="54"/>
      <c r="I796" s="54"/>
    </row>
    <row r="797">
      <c r="A797" s="76"/>
      <c r="B797" s="54"/>
      <c r="C797" s="54"/>
      <c r="D797" s="54"/>
      <c r="E797" s="54"/>
      <c r="F797" s="54"/>
      <c r="G797" s="54"/>
      <c r="H797" s="54"/>
      <c r="I797" s="54"/>
    </row>
    <row r="798">
      <c r="A798" s="76"/>
      <c r="B798" s="54"/>
      <c r="C798" s="54"/>
      <c r="D798" s="54"/>
      <c r="E798" s="54"/>
      <c r="F798" s="54"/>
      <c r="G798" s="54"/>
      <c r="H798" s="54"/>
      <c r="I798" s="54"/>
    </row>
    <row r="799">
      <c r="A799" s="76"/>
      <c r="B799" s="54"/>
      <c r="C799" s="54"/>
      <c r="D799" s="54"/>
      <c r="E799" s="54"/>
      <c r="F799" s="54"/>
      <c r="G799" s="54"/>
      <c r="H799" s="54"/>
      <c r="I799" s="54"/>
    </row>
    <row r="800">
      <c r="A800" s="76"/>
      <c r="B800" s="54"/>
      <c r="C800" s="54"/>
      <c r="D800" s="54"/>
      <c r="E800" s="54"/>
      <c r="F800" s="54"/>
      <c r="G800" s="54"/>
      <c r="H800" s="54"/>
      <c r="I800" s="54"/>
    </row>
    <row r="801">
      <c r="A801" s="76"/>
      <c r="B801" s="54"/>
      <c r="C801" s="54"/>
      <c r="D801" s="54"/>
      <c r="E801" s="54"/>
      <c r="F801" s="54"/>
      <c r="G801" s="54"/>
      <c r="H801" s="54"/>
      <c r="I801" s="54"/>
    </row>
    <row r="802">
      <c r="A802" s="76"/>
      <c r="B802" s="54"/>
      <c r="C802" s="54"/>
      <c r="D802" s="54"/>
      <c r="E802" s="54"/>
      <c r="F802" s="54"/>
      <c r="G802" s="54"/>
      <c r="H802" s="54"/>
      <c r="I802" s="54"/>
    </row>
    <row r="803">
      <c r="A803" s="76"/>
      <c r="B803" s="54"/>
      <c r="C803" s="54"/>
      <c r="D803" s="54"/>
      <c r="E803" s="54"/>
      <c r="F803" s="54"/>
      <c r="G803" s="54"/>
      <c r="H803" s="54"/>
      <c r="I803" s="54"/>
    </row>
    <row r="804">
      <c r="A804" s="76"/>
      <c r="B804" s="54"/>
      <c r="C804" s="54"/>
      <c r="D804" s="54"/>
      <c r="E804" s="54"/>
      <c r="F804" s="54"/>
      <c r="G804" s="54"/>
      <c r="H804" s="54"/>
      <c r="I804" s="54"/>
    </row>
    <row r="805">
      <c r="A805" s="76"/>
      <c r="B805" s="54"/>
      <c r="C805" s="54"/>
      <c r="D805" s="54"/>
      <c r="E805" s="54"/>
      <c r="F805" s="54"/>
      <c r="G805" s="54"/>
      <c r="H805" s="54"/>
      <c r="I805" s="54"/>
    </row>
    <row r="806">
      <c r="A806" s="76"/>
      <c r="B806" s="54"/>
      <c r="C806" s="54"/>
      <c r="D806" s="54"/>
      <c r="E806" s="54"/>
      <c r="F806" s="54"/>
      <c r="G806" s="54"/>
      <c r="H806" s="54"/>
      <c r="I806" s="54"/>
    </row>
    <row r="807">
      <c r="A807" s="76"/>
      <c r="B807" s="54"/>
      <c r="C807" s="54"/>
      <c r="D807" s="54"/>
      <c r="E807" s="54"/>
      <c r="F807" s="54"/>
      <c r="G807" s="54"/>
      <c r="H807" s="54"/>
      <c r="I807" s="54"/>
    </row>
    <row r="808">
      <c r="A808" s="76"/>
      <c r="B808" s="54"/>
      <c r="C808" s="54"/>
      <c r="D808" s="54"/>
      <c r="E808" s="54"/>
      <c r="F808" s="54"/>
      <c r="G808" s="54"/>
      <c r="H808" s="54"/>
      <c r="I808" s="54"/>
    </row>
    <row r="809">
      <c r="A809" s="76"/>
      <c r="B809" s="54"/>
      <c r="C809" s="54"/>
      <c r="D809" s="54"/>
      <c r="E809" s="54"/>
      <c r="F809" s="54"/>
      <c r="G809" s="54"/>
      <c r="H809" s="54"/>
      <c r="I809" s="54"/>
    </row>
    <row r="810">
      <c r="A810" s="76"/>
      <c r="B810" s="54"/>
      <c r="C810" s="54"/>
      <c r="D810" s="54"/>
      <c r="E810" s="54"/>
      <c r="F810" s="54"/>
      <c r="G810" s="54"/>
      <c r="H810" s="54"/>
      <c r="I810" s="54"/>
    </row>
    <row r="811">
      <c r="A811" s="76"/>
      <c r="B811" s="54"/>
      <c r="C811" s="54"/>
      <c r="D811" s="54"/>
      <c r="E811" s="54"/>
      <c r="F811" s="54"/>
      <c r="G811" s="54"/>
      <c r="H811" s="54"/>
      <c r="I811" s="54"/>
    </row>
    <row r="812">
      <c r="A812" s="76"/>
      <c r="B812" s="54"/>
      <c r="C812" s="54"/>
      <c r="D812" s="54"/>
      <c r="E812" s="54"/>
      <c r="F812" s="54"/>
      <c r="G812" s="54"/>
      <c r="H812" s="54"/>
      <c r="I812" s="54"/>
    </row>
    <row r="813">
      <c r="A813" s="76"/>
      <c r="B813" s="54"/>
      <c r="C813" s="54"/>
      <c r="D813" s="54"/>
      <c r="E813" s="54"/>
      <c r="F813" s="54"/>
      <c r="G813" s="54"/>
      <c r="H813" s="54"/>
      <c r="I813" s="54"/>
    </row>
    <row r="814">
      <c r="A814" s="76"/>
      <c r="B814" s="54"/>
      <c r="C814" s="54"/>
      <c r="D814" s="54"/>
      <c r="E814" s="54"/>
      <c r="F814" s="54"/>
      <c r="G814" s="54"/>
      <c r="H814" s="54"/>
      <c r="I814" s="54"/>
    </row>
    <row r="815">
      <c r="A815" s="76"/>
      <c r="B815" s="54"/>
      <c r="C815" s="54"/>
      <c r="D815" s="54"/>
      <c r="E815" s="54"/>
      <c r="F815" s="54"/>
      <c r="G815" s="54"/>
      <c r="H815" s="54"/>
      <c r="I815" s="54"/>
    </row>
    <row r="816">
      <c r="A816" s="76"/>
      <c r="B816" s="54"/>
      <c r="C816" s="54"/>
      <c r="D816" s="54"/>
      <c r="E816" s="54"/>
      <c r="F816" s="54"/>
      <c r="G816" s="54"/>
      <c r="H816" s="54"/>
      <c r="I816" s="54"/>
    </row>
    <row r="817">
      <c r="A817" s="76"/>
      <c r="B817" s="54"/>
      <c r="C817" s="54"/>
      <c r="D817" s="54"/>
      <c r="E817" s="54"/>
      <c r="F817" s="54"/>
      <c r="G817" s="54"/>
      <c r="H817" s="54"/>
      <c r="I817" s="54"/>
    </row>
    <row r="818">
      <c r="A818" s="76"/>
      <c r="B818" s="54"/>
      <c r="C818" s="54"/>
      <c r="D818" s="54"/>
      <c r="E818" s="54"/>
      <c r="F818" s="54"/>
      <c r="G818" s="54"/>
      <c r="H818" s="54"/>
      <c r="I818" s="54"/>
    </row>
    <row r="819">
      <c r="A819" s="76"/>
      <c r="B819" s="54"/>
      <c r="C819" s="54"/>
      <c r="D819" s="54"/>
      <c r="E819" s="54"/>
      <c r="F819" s="54"/>
      <c r="G819" s="54"/>
      <c r="H819" s="54"/>
      <c r="I819" s="54"/>
    </row>
    <row r="820">
      <c r="A820" s="76"/>
      <c r="B820" s="54"/>
      <c r="C820" s="54"/>
      <c r="D820" s="54"/>
      <c r="E820" s="54"/>
      <c r="F820" s="54"/>
      <c r="G820" s="54"/>
      <c r="H820" s="54"/>
      <c r="I820" s="54"/>
    </row>
    <row r="821">
      <c r="A821" s="76"/>
      <c r="B821" s="54"/>
      <c r="C821" s="54"/>
      <c r="D821" s="54"/>
      <c r="E821" s="54"/>
      <c r="F821" s="54"/>
      <c r="G821" s="54"/>
      <c r="H821" s="54"/>
      <c r="I821" s="54"/>
    </row>
    <row r="822">
      <c r="A822" s="76"/>
      <c r="B822" s="54"/>
      <c r="C822" s="54"/>
      <c r="D822" s="54"/>
      <c r="E822" s="54"/>
      <c r="F822" s="54"/>
      <c r="G822" s="54"/>
      <c r="H822" s="54"/>
      <c r="I822" s="54"/>
    </row>
    <row r="823">
      <c r="A823" s="76"/>
      <c r="B823" s="54"/>
      <c r="C823" s="54"/>
      <c r="D823" s="54"/>
      <c r="E823" s="54"/>
      <c r="F823" s="54"/>
      <c r="G823" s="54"/>
      <c r="H823" s="54"/>
      <c r="I823" s="54"/>
    </row>
    <row r="824">
      <c r="A824" s="76"/>
      <c r="B824" s="54"/>
      <c r="C824" s="54"/>
      <c r="D824" s="54"/>
      <c r="E824" s="54"/>
      <c r="F824" s="54"/>
      <c r="G824" s="54"/>
      <c r="H824" s="54"/>
      <c r="I824" s="54"/>
    </row>
    <row r="825">
      <c r="A825" s="76"/>
      <c r="B825" s="54"/>
      <c r="C825" s="54"/>
      <c r="D825" s="54"/>
      <c r="E825" s="54"/>
      <c r="F825" s="54"/>
      <c r="G825" s="54"/>
      <c r="H825" s="54"/>
      <c r="I825" s="54"/>
    </row>
    <row r="826">
      <c r="A826" s="76"/>
      <c r="B826" s="54"/>
      <c r="C826" s="54"/>
      <c r="D826" s="54"/>
      <c r="E826" s="54"/>
      <c r="F826" s="54"/>
      <c r="G826" s="54"/>
      <c r="H826" s="54"/>
      <c r="I826" s="54"/>
    </row>
    <row r="827">
      <c r="A827" s="76"/>
      <c r="B827" s="54"/>
      <c r="C827" s="54"/>
      <c r="D827" s="54"/>
      <c r="E827" s="54"/>
      <c r="F827" s="54"/>
      <c r="G827" s="54"/>
      <c r="H827" s="54"/>
      <c r="I827" s="54"/>
    </row>
    <row r="828">
      <c r="A828" s="76"/>
      <c r="B828" s="54"/>
      <c r="C828" s="54"/>
      <c r="D828" s="54"/>
      <c r="E828" s="54"/>
      <c r="F828" s="54"/>
      <c r="G828" s="54"/>
      <c r="H828" s="54"/>
      <c r="I828" s="54"/>
    </row>
    <row r="829">
      <c r="A829" s="76"/>
      <c r="B829" s="54"/>
      <c r="C829" s="54"/>
      <c r="D829" s="54"/>
      <c r="E829" s="54"/>
      <c r="F829" s="54"/>
      <c r="G829" s="54"/>
      <c r="H829" s="54"/>
      <c r="I829" s="54"/>
    </row>
    <row r="830">
      <c r="A830" s="76"/>
      <c r="B830" s="54"/>
      <c r="C830" s="54"/>
      <c r="D830" s="54"/>
      <c r="E830" s="54"/>
      <c r="F830" s="54"/>
      <c r="G830" s="54"/>
      <c r="H830" s="54"/>
      <c r="I830" s="54"/>
    </row>
    <row r="831">
      <c r="A831" s="76"/>
      <c r="B831" s="54"/>
      <c r="C831" s="54"/>
      <c r="D831" s="54"/>
      <c r="E831" s="54"/>
      <c r="F831" s="54"/>
      <c r="G831" s="54"/>
      <c r="H831" s="54"/>
      <c r="I831" s="54"/>
    </row>
    <row r="832">
      <c r="A832" s="76"/>
      <c r="B832" s="54"/>
      <c r="C832" s="54"/>
      <c r="D832" s="54"/>
      <c r="E832" s="54"/>
      <c r="F832" s="54"/>
      <c r="G832" s="54"/>
      <c r="H832" s="54"/>
      <c r="I832" s="54"/>
    </row>
    <row r="833">
      <c r="A833" s="76"/>
      <c r="B833" s="54"/>
      <c r="C833" s="54"/>
      <c r="D833" s="54"/>
      <c r="E833" s="54"/>
      <c r="F833" s="54"/>
      <c r="G833" s="54"/>
      <c r="H833" s="54"/>
      <c r="I833" s="54"/>
    </row>
    <row r="834">
      <c r="A834" s="76"/>
      <c r="B834" s="54"/>
      <c r="C834" s="54"/>
      <c r="D834" s="54"/>
      <c r="E834" s="54"/>
      <c r="F834" s="54"/>
      <c r="G834" s="54"/>
      <c r="H834" s="54"/>
      <c r="I834" s="54"/>
    </row>
    <row r="835">
      <c r="A835" s="76"/>
      <c r="B835" s="54"/>
      <c r="C835" s="54"/>
      <c r="D835" s="54"/>
      <c r="E835" s="54"/>
      <c r="F835" s="54"/>
      <c r="G835" s="54"/>
      <c r="H835" s="54"/>
      <c r="I835" s="54"/>
    </row>
    <row r="836">
      <c r="A836" s="76"/>
      <c r="B836" s="54"/>
      <c r="C836" s="54"/>
      <c r="D836" s="54"/>
      <c r="E836" s="54"/>
      <c r="F836" s="54"/>
      <c r="G836" s="54"/>
      <c r="H836" s="54"/>
      <c r="I836" s="54"/>
    </row>
    <row r="837">
      <c r="A837" s="76"/>
      <c r="B837" s="54"/>
      <c r="C837" s="54"/>
      <c r="D837" s="54"/>
      <c r="E837" s="54"/>
      <c r="F837" s="54"/>
      <c r="G837" s="54"/>
      <c r="H837" s="54"/>
      <c r="I837" s="54"/>
    </row>
    <row r="838">
      <c r="A838" s="76"/>
      <c r="B838" s="54"/>
      <c r="C838" s="54"/>
      <c r="D838" s="54"/>
      <c r="E838" s="54"/>
      <c r="F838" s="54"/>
      <c r="G838" s="54"/>
      <c r="H838" s="54"/>
      <c r="I838" s="54"/>
    </row>
    <row r="839">
      <c r="A839" s="76"/>
      <c r="B839" s="54"/>
      <c r="C839" s="54"/>
      <c r="D839" s="54"/>
      <c r="E839" s="54"/>
      <c r="F839" s="54"/>
      <c r="G839" s="54"/>
      <c r="H839" s="54"/>
      <c r="I839" s="54"/>
    </row>
    <row r="840">
      <c r="A840" s="76"/>
      <c r="B840" s="54"/>
      <c r="C840" s="54"/>
      <c r="D840" s="54"/>
      <c r="E840" s="54"/>
      <c r="F840" s="54"/>
      <c r="G840" s="54"/>
      <c r="H840" s="54"/>
      <c r="I840" s="54"/>
    </row>
    <row r="841">
      <c r="A841" s="76"/>
      <c r="B841" s="54"/>
      <c r="C841" s="54"/>
      <c r="D841" s="54"/>
      <c r="E841" s="54"/>
      <c r="F841" s="54"/>
      <c r="G841" s="54"/>
      <c r="H841" s="54"/>
      <c r="I841" s="54"/>
    </row>
    <row r="842">
      <c r="A842" s="76"/>
      <c r="B842" s="54"/>
      <c r="C842" s="54"/>
      <c r="D842" s="54"/>
      <c r="E842" s="54"/>
      <c r="F842" s="54"/>
      <c r="G842" s="54"/>
      <c r="H842" s="54"/>
      <c r="I842" s="54"/>
    </row>
    <row r="843">
      <c r="A843" s="76"/>
      <c r="B843" s="54"/>
      <c r="C843" s="54"/>
      <c r="D843" s="54"/>
      <c r="E843" s="54"/>
      <c r="F843" s="54"/>
      <c r="G843" s="54"/>
      <c r="H843" s="54"/>
      <c r="I843" s="54"/>
    </row>
    <row r="844">
      <c r="A844" s="76"/>
      <c r="B844" s="54"/>
      <c r="C844" s="54"/>
      <c r="D844" s="54"/>
      <c r="E844" s="54"/>
      <c r="F844" s="54"/>
      <c r="G844" s="54"/>
      <c r="H844" s="54"/>
      <c r="I844" s="54"/>
    </row>
    <row r="845">
      <c r="A845" s="76"/>
      <c r="B845" s="54"/>
      <c r="C845" s="54"/>
      <c r="D845" s="54"/>
      <c r="E845" s="54"/>
      <c r="F845" s="54"/>
      <c r="G845" s="54"/>
      <c r="H845" s="54"/>
      <c r="I845" s="54"/>
    </row>
    <row r="846">
      <c r="A846" s="76"/>
      <c r="B846" s="54"/>
      <c r="C846" s="54"/>
      <c r="D846" s="54"/>
      <c r="E846" s="54"/>
      <c r="F846" s="54"/>
      <c r="G846" s="54"/>
      <c r="H846" s="54"/>
      <c r="I846" s="54"/>
    </row>
    <row r="847">
      <c r="A847" s="76"/>
      <c r="B847" s="54"/>
      <c r="C847" s="54"/>
      <c r="D847" s="54"/>
      <c r="E847" s="54"/>
      <c r="F847" s="54"/>
      <c r="G847" s="54"/>
      <c r="H847" s="54"/>
      <c r="I847" s="54"/>
    </row>
    <row r="848">
      <c r="A848" s="76"/>
      <c r="B848" s="54"/>
      <c r="C848" s="54"/>
      <c r="D848" s="54"/>
      <c r="E848" s="54"/>
      <c r="F848" s="54"/>
      <c r="G848" s="54"/>
      <c r="H848" s="54"/>
      <c r="I848" s="54"/>
    </row>
    <row r="849">
      <c r="A849" s="76"/>
      <c r="B849" s="54"/>
      <c r="C849" s="54"/>
      <c r="D849" s="54"/>
      <c r="E849" s="54"/>
      <c r="F849" s="54"/>
      <c r="G849" s="54"/>
      <c r="H849" s="54"/>
      <c r="I849" s="54"/>
    </row>
    <row r="850">
      <c r="A850" s="76"/>
      <c r="B850" s="54"/>
      <c r="C850" s="54"/>
      <c r="D850" s="54"/>
      <c r="E850" s="54"/>
      <c r="F850" s="54"/>
      <c r="G850" s="54"/>
      <c r="H850" s="54"/>
      <c r="I850" s="54"/>
    </row>
    <row r="851">
      <c r="A851" s="76"/>
      <c r="B851" s="54"/>
      <c r="C851" s="54"/>
      <c r="D851" s="54"/>
      <c r="E851" s="54"/>
      <c r="F851" s="54"/>
      <c r="G851" s="54"/>
      <c r="H851" s="54"/>
      <c r="I851" s="54"/>
    </row>
    <row r="852">
      <c r="A852" s="76"/>
      <c r="B852" s="54"/>
      <c r="C852" s="54"/>
      <c r="D852" s="54"/>
      <c r="E852" s="54"/>
      <c r="F852" s="54"/>
      <c r="G852" s="54"/>
      <c r="H852" s="54"/>
      <c r="I852" s="54"/>
    </row>
    <row r="853">
      <c r="A853" s="76"/>
      <c r="B853" s="54"/>
      <c r="C853" s="54"/>
      <c r="D853" s="54"/>
      <c r="E853" s="54"/>
      <c r="F853" s="54"/>
      <c r="G853" s="54"/>
      <c r="H853" s="54"/>
      <c r="I853" s="54"/>
    </row>
    <row r="854">
      <c r="A854" s="76"/>
      <c r="B854" s="54"/>
      <c r="C854" s="54"/>
      <c r="D854" s="54"/>
      <c r="E854" s="54"/>
      <c r="F854" s="54"/>
      <c r="G854" s="54"/>
      <c r="H854" s="54"/>
      <c r="I854" s="54"/>
    </row>
    <row r="855">
      <c r="A855" s="76"/>
      <c r="B855" s="54"/>
      <c r="C855" s="54"/>
      <c r="D855" s="54"/>
      <c r="E855" s="54"/>
      <c r="F855" s="54"/>
      <c r="G855" s="54"/>
      <c r="H855" s="54"/>
      <c r="I855" s="54"/>
    </row>
    <row r="856">
      <c r="A856" s="76"/>
      <c r="B856" s="54"/>
      <c r="C856" s="54"/>
      <c r="D856" s="54"/>
      <c r="E856" s="54"/>
      <c r="F856" s="54"/>
      <c r="G856" s="54"/>
      <c r="H856" s="54"/>
      <c r="I856" s="54"/>
    </row>
    <row r="857">
      <c r="A857" s="76"/>
      <c r="B857" s="54"/>
      <c r="C857" s="54"/>
      <c r="D857" s="54"/>
      <c r="E857" s="54"/>
      <c r="F857" s="54"/>
      <c r="G857" s="54"/>
      <c r="H857" s="54"/>
      <c r="I857" s="54"/>
    </row>
    <row r="858">
      <c r="A858" s="76"/>
      <c r="B858" s="54"/>
      <c r="C858" s="54"/>
      <c r="D858" s="54"/>
      <c r="E858" s="54"/>
      <c r="F858" s="54"/>
      <c r="G858" s="54"/>
      <c r="H858" s="54"/>
      <c r="I858" s="54"/>
    </row>
    <row r="859">
      <c r="A859" s="76"/>
      <c r="B859" s="54"/>
      <c r="C859" s="54"/>
      <c r="D859" s="54"/>
      <c r="E859" s="54"/>
      <c r="F859" s="54"/>
      <c r="G859" s="54"/>
      <c r="H859" s="54"/>
      <c r="I859" s="54"/>
    </row>
    <row r="860">
      <c r="A860" s="76"/>
      <c r="B860" s="54"/>
      <c r="C860" s="54"/>
      <c r="D860" s="54"/>
      <c r="E860" s="54"/>
      <c r="F860" s="54"/>
      <c r="G860" s="54"/>
      <c r="H860" s="54"/>
      <c r="I860" s="54"/>
    </row>
    <row r="861">
      <c r="A861" s="76"/>
      <c r="B861" s="54"/>
      <c r="C861" s="54"/>
      <c r="D861" s="54"/>
      <c r="E861" s="54"/>
      <c r="F861" s="54"/>
      <c r="G861" s="54"/>
      <c r="H861" s="54"/>
      <c r="I861" s="54"/>
    </row>
    <row r="862">
      <c r="A862" s="76"/>
      <c r="B862" s="54"/>
      <c r="C862" s="54"/>
      <c r="D862" s="54"/>
      <c r="E862" s="54"/>
      <c r="F862" s="54"/>
      <c r="G862" s="54"/>
      <c r="H862" s="54"/>
      <c r="I862" s="54"/>
    </row>
    <row r="863">
      <c r="A863" s="76"/>
      <c r="B863" s="54"/>
      <c r="C863" s="54"/>
      <c r="D863" s="54"/>
      <c r="E863" s="54"/>
      <c r="F863" s="54"/>
      <c r="G863" s="54"/>
      <c r="H863" s="54"/>
      <c r="I863" s="54"/>
    </row>
    <row r="864">
      <c r="A864" s="76"/>
      <c r="B864" s="54"/>
      <c r="C864" s="54"/>
      <c r="D864" s="54"/>
      <c r="E864" s="54"/>
      <c r="F864" s="54"/>
      <c r="G864" s="54"/>
      <c r="H864" s="54"/>
      <c r="I864" s="54"/>
    </row>
    <row r="865">
      <c r="A865" s="76"/>
      <c r="B865" s="54"/>
      <c r="C865" s="54"/>
      <c r="D865" s="54"/>
      <c r="E865" s="54"/>
      <c r="F865" s="54"/>
      <c r="G865" s="54"/>
      <c r="H865" s="54"/>
      <c r="I865" s="54"/>
    </row>
    <row r="866">
      <c r="A866" s="76"/>
      <c r="B866" s="54"/>
      <c r="C866" s="54"/>
      <c r="D866" s="54"/>
      <c r="E866" s="54"/>
      <c r="F866" s="54"/>
      <c r="G866" s="54"/>
      <c r="H866" s="54"/>
      <c r="I866" s="54"/>
    </row>
    <row r="867">
      <c r="A867" s="76"/>
      <c r="B867" s="54"/>
      <c r="C867" s="54"/>
      <c r="D867" s="54"/>
      <c r="E867" s="54"/>
      <c r="F867" s="54"/>
      <c r="G867" s="54"/>
      <c r="H867" s="54"/>
      <c r="I867" s="54"/>
    </row>
    <row r="868">
      <c r="A868" s="76"/>
      <c r="B868" s="54"/>
      <c r="C868" s="54"/>
      <c r="D868" s="54"/>
      <c r="E868" s="54"/>
      <c r="F868" s="54"/>
      <c r="G868" s="54"/>
      <c r="H868" s="54"/>
      <c r="I868" s="54"/>
    </row>
    <row r="869">
      <c r="A869" s="76"/>
      <c r="B869" s="54"/>
      <c r="C869" s="54"/>
      <c r="D869" s="54"/>
      <c r="E869" s="54"/>
      <c r="F869" s="54"/>
      <c r="G869" s="54"/>
      <c r="H869" s="54"/>
      <c r="I869" s="54"/>
    </row>
    <row r="870">
      <c r="A870" s="76"/>
      <c r="B870" s="54"/>
      <c r="C870" s="54"/>
      <c r="D870" s="54"/>
      <c r="E870" s="54"/>
      <c r="F870" s="54"/>
      <c r="G870" s="54"/>
      <c r="H870" s="54"/>
      <c r="I870" s="54"/>
    </row>
    <row r="871">
      <c r="A871" s="76"/>
      <c r="B871" s="54"/>
      <c r="C871" s="54"/>
      <c r="D871" s="54"/>
      <c r="E871" s="54"/>
      <c r="F871" s="54"/>
      <c r="G871" s="54"/>
      <c r="H871" s="54"/>
      <c r="I871" s="54"/>
    </row>
    <row r="872">
      <c r="A872" s="76"/>
      <c r="B872" s="54"/>
      <c r="C872" s="54"/>
      <c r="D872" s="54"/>
      <c r="E872" s="54"/>
      <c r="F872" s="54"/>
      <c r="G872" s="54"/>
      <c r="H872" s="54"/>
      <c r="I872" s="54"/>
    </row>
    <row r="873">
      <c r="A873" s="76"/>
      <c r="B873" s="54"/>
      <c r="C873" s="54"/>
      <c r="D873" s="54"/>
      <c r="E873" s="54"/>
      <c r="F873" s="54"/>
      <c r="G873" s="54"/>
      <c r="H873" s="54"/>
      <c r="I873" s="54"/>
    </row>
    <row r="874">
      <c r="A874" s="76"/>
      <c r="B874" s="54"/>
      <c r="C874" s="54"/>
      <c r="D874" s="54"/>
      <c r="E874" s="54"/>
      <c r="F874" s="54"/>
      <c r="G874" s="54"/>
      <c r="H874" s="54"/>
      <c r="I874" s="54"/>
    </row>
    <row r="875">
      <c r="A875" s="76"/>
      <c r="B875" s="54"/>
      <c r="C875" s="54"/>
      <c r="D875" s="54"/>
      <c r="E875" s="54"/>
      <c r="F875" s="54"/>
      <c r="G875" s="54"/>
      <c r="H875" s="54"/>
      <c r="I875" s="54"/>
    </row>
    <row r="876">
      <c r="A876" s="76"/>
      <c r="B876" s="54"/>
      <c r="C876" s="54"/>
      <c r="D876" s="54"/>
      <c r="E876" s="54"/>
      <c r="F876" s="54"/>
      <c r="G876" s="54"/>
      <c r="H876" s="54"/>
      <c r="I876" s="54"/>
    </row>
    <row r="877">
      <c r="A877" s="76"/>
      <c r="B877" s="54"/>
      <c r="C877" s="54"/>
      <c r="D877" s="54"/>
      <c r="E877" s="54"/>
      <c r="F877" s="54"/>
      <c r="G877" s="54"/>
      <c r="H877" s="54"/>
      <c r="I877" s="54"/>
    </row>
    <row r="878">
      <c r="A878" s="76"/>
      <c r="B878" s="54"/>
      <c r="C878" s="54"/>
      <c r="D878" s="54"/>
      <c r="E878" s="54"/>
      <c r="F878" s="54"/>
      <c r="G878" s="54"/>
      <c r="H878" s="54"/>
      <c r="I878" s="54"/>
    </row>
    <row r="879">
      <c r="A879" s="76"/>
      <c r="B879" s="54"/>
      <c r="C879" s="54"/>
      <c r="D879" s="54"/>
      <c r="E879" s="54"/>
      <c r="F879" s="54"/>
      <c r="G879" s="54"/>
      <c r="H879" s="54"/>
      <c r="I879" s="54"/>
    </row>
    <row r="880">
      <c r="A880" s="76"/>
      <c r="B880" s="54"/>
      <c r="C880" s="54"/>
      <c r="D880" s="54"/>
      <c r="E880" s="54"/>
      <c r="F880" s="54"/>
      <c r="G880" s="54"/>
      <c r="H880" s="54"/>
      <c r="I880" s="54"/>
    </row>
    <row r="881">
      <c r="A881" s="76"/>
      <c r="B881" s="54"/>
      <c r="C881" s="54"/>
      <c r="D881" s="54"/>
      <c r="E881" s="54"/>
      <c r="F881" s="54"/>
      <c r="G881" s="54"/>
      <c r="H881" s="54"/>
      <c r="I881" s="54"/>
    </row>
    <row r="882">
      <c r="A882" s="76"/>
      <c r="B882" s="54"/>
      <c r="C882" s="54"/>
      <c r="D882" s="54"/>
      <c r="E882" s="54"/>
      <c r="F882" s="54"/>
      <c r="G882" s="54"/>
      <c r="H882" s="54"/>
      <c r="I882" s="54"/>
    </row>
    <row r="883">
      <c r="A883" s="76"/>
      <c r="B883" s="54"/>
      <c r="C883" s="54"/>
      <c r="D883" s="54"/>
      <c r="E883" s="54"/>
      <c r="F883" s="54"/>
      <c r="G883" s="54"/>
      <c r="H883" s="54"/>
      <c r="I883" s="54"/>
    </row>
    <row r="884">
      <c r="A884" s="76"/>
      <c r="B884" s="54"/>
      <c r="C884" s="54"/>
      <c r="D884" s="54"/>
      <c r="E884" s="54"/>
      <c r="F884" s="54"/>
      <c r="G884" s="54"/>
      <c r="H884" s="54"/>
      <c r="I884" s="54"/>
    </row>
    <row r="885">
      <c r="A885" s="76"/>
      <c r="B885" s="54"/>
      <c r="C885" s="54"/>
      <c r="D885" s="54"/>
      <c r="E885" s="54"/>
      <c r="F885" s="54"/>
      <c r="G885" s="54"/>
      <c r="H885" s="54"/>
      <c r="I885" s="54"/>
    </row>
    <row r="886">
      <c r="A886" s="76"/>
      <c r="B886" s="54"/>
      <c r="C886" s="54"/>
      <c r="D886" s="54"/>
      <c r="E886" s="54"/>
      <c r="F886" s="54"/>
      <c r="G886" s="54"/>
      <c r="H886" s="54"/>
      <c r="I886" s="54"/>
    </row>
    <row r="887">
      <c r="A887" s="76"/>
      <c r="B887" s="54"/>
      <c r="C887" s="54"/>
      <c r="D887" s="54"/>
      <c r="E887" s="54"/>
      <c r="F887" s="54"/>
      <c r="G887" s="54"/>
      <c r="H887" s="54"/>
      <c r="I887" s="54"/>
    </row>
    <row r="888">
      <c r="A888" s="76"/>
      <c r="B888" s="54"/>
      <c r="C888" s="54"/>
      <c r="D888" s="54"/>
      <c r="E888" s="54"/>
      <c r="F888" s="54"/>
      <c r="G888" s="54"/>
      <c r="H888" s="54"/>
      <c r="I888" s="54"/>
    </row>
    <row r="889">
      <c r="A889" s="76"/>
      <c r="B889" s="54"/>
      <c r="C889" s="54"/>
      <c r="D889" s="54"/>
      <c r="E889" s="54"/>
      <c r="F889" s="54"/>
      <c r="G889" s="54"/>
      <c r="H889" s="54"/>
      <c r="I889" s="54"/>
    </row>
    <row r="890">
      <c r="A890" s="76"/>
      <c r="B890" s="54"/>
      <c r="C890" s="54"/>
      <c r="D890" s="54"/>
      <c r="E890" s="54"/>
      <c r="F890" s="54"/>
      <c r="G890" s="54"/>
      <c r="H890" s="54"/>
      <c r="I890" s="54"/>
    </row>
    <row r="891">
      <c r="A891" s="76"/>
      <c r="B891" s="54"/>
      <c r="C891" s="54"/>
      <c r="D891" s="54"/>
      <c r="E891" s="54"/>
      <c r="F891" s="54"/>
      <c r="G891" s="54"/>
      <c r="H891" s="54"/>
      <c r="I891" s="54"/>
    </row>
    <row r="892">
      <c r="A892" s="76"/>
      <c r="B892" s="54"/>
      <c r="C892" s="54"/>
      <c r="D892" s="54"/>
      <c r="E892" s="54"/>
      <c r="F892" s="54"/>
      <c r="G892" s="54"/>
      <c r="H892" s="54"/>
      <c r="I892" s="54"/>
    </row>
    <row r="893">
      <c r="A893" s="76"/>
      <c r="B893" s="54"/>
      <c r="C893" s="54"/>
      <c r="D893" s="54"/>
      <c r="E893" s="54"/>
      <c r="F893" s="54"/>
      <c r="G893" s="54"/>
      <c r="H893" s="54"/>
      <c r="I893" s="54"/>
    </row>
    <row r="894">
      <c r="A894" s="76"/>
      <c r="B894" s="54"/>
      <c r="C894" s="54"/>
      <c r="D894" s="54"/>
      <c r="E894" s="54"/>
      <c r="F894" s="54"/>
      <c r="G894" s="54"/>
      <c r="H894" s="54"/>
      <c r="I894" s="54"/>
    </row>
    <row r="895">
      <c r="A895" s="76"/>
      <c r="B895" s="54"/>
      <c r="C895" s="54"/>
      <c r="D895" s="54"/>
      <c r="E895" s="54"/>
      <c r="F895" s="54"/>
      <c r="G895" s="54"/>
      <c r="H895" s="54"/>
      <c r="I895" s="54"/>
    </row>
    <row r="896">
      <c r="A896" s="76"/>
      <c r="B896" s="54"/>
      <c r="C896" s="54"/>
      <c r="D896" s="54"/>
      <c r="E896" s="54"/>
      <c r="F896" s="54"/>
      <c r="G896" s="54"/>
      <c r="H896" s="54"/>
      <c r="I896" s="54"/>
    </row>
    <row r="897">
      <c r="A897" s="76"/>
      <c r="B897" s="54"/>
      <c r="C897" s="54"/>
      <c r="D897" s="54"/>
      <c r="E897" s="54"/>
      <c r="F897" s="54"/>
      <c r="G897" s="54"/>
      <c r="H897" s="54"/>
      <c r="I897" s="54"/>
    </row>
    <row r="898">
      <c r="A898" s="76"/>
      <c r="B898" s="54"/>
      <c r="C898" s="54"/>
      <c r="D898" s="54"/>
      <c r="E898" s="54"/>
      <c r="F898" s="54"/>
      <c r="G898" s="54"/>
      <c r="H898" s="54"/>
      <c r="I898" s="54"/>
    </row>
    <row r="899">
      <c r="A899" s="76"/>
      <c r="B899" s="54"/>
      <c r="C899" s="54"/>
      <c r="D899" s="54"/>
      <c r="E899" s="54"/>
      <c r="F899" s="54"/>
      <c r="G899" s="54"/>
      <c r="H899" s="54"/>
      <c r="I899" s="54"/>
    </row>
    <row r="900">
      <c r="A900" s="76"/>
      <c r="B900" s="54"/>
      <c r="C900" s="54"/>
      <c r="D900" s="54"/>
      <c r="E900" s="54"/>
      <c r="F900" s="54"/>
      <c r="G900" s="54"/>
      <c r="H900" s="54"/>
      <c r="I900" s="54"/>
    </row>
    <row r="901">
      <c r="A901" s="76"/>
      <c r="B901" s="54"/>
      <c r="C901" s="54"/>
      <c r="D901" s="54"/>
      <c r="E901" s="54"/>
      <c r="F901" s="54"/>
      <c r="G901" s="54"/>
      <c r="H901" s="54"/>
      <c r="I901" s="54"/>
    </row>
    <row r="902">
      <c r="A902" s="76"/>
      <c r="B902" s="54"/>
      <c r="C902" s="54"/>
      <c r="D902" s="54"/>
      <c r="E902" s="54"/>
      <c r="F902" s="54"/>
      <c r="G902" s="54"/>
      <c r="H902" s="54"/>
      <c r="I902" s="54"/>
    </row>
    <row r="903">
      <c r="A903" s="76"/>
      <c r="B903" s="54"/>
      <c r="C903" s="54"/>
      <c r="D903" s="54"/>
      <c r="E903" s="54"/>
      <c r="F903" s="54"/>
      <c r="G903" s="54"/>
      <c r="H903" s="54"/>
      <c r="I903" s="54"/>
    </row>
    <row r="904">
      <c r="A904" s="76"/>
      <c r="B904" s="54"/>
      <c r="C904" s="54"/>
      <c r="D904" s="54"/>
      <c r="E904" s="54"/>
      <c r="F904" s="54"/>
      <c r="G904" s="54"/>
      <c r="H904" s="54"/>
      <c r="I904" s="54"/>
    </row>
    <row r="905">
      <c r="A905" s="76"/>
      <c r="B905" s="54"/>
      <c r="C905" s="54"/>
      <c r="D905" s="54"/>
      <c r="E905" s="54"/>
      <c r="F905" s="54"/>
      <c r="G905" s="54"/>
      <c r="H905" s="54"/>
      <c r="I905" s="54"/>
    </row>
    <row r="906">
      <c r="A906" s="76"/>
      <c r="B906" s="54"/>
      <c r="C906" s="54"/>
      <c r="D906" s="54"/>
      <c r="E906" s="54"/>
      <c r="F906" s="54"/>
      <c r="G906" s="54"/>
      <c r="H906" s="54"/>
      <c r="I906" s="54"/>
    </row>
    <row r="907">
      <c r="A907" s="76"/>
      <c r="B907" s="54"/>
      <c r="C907" s="54"/>
      <c r="D907" s="54"/>
      <c r="E907" s="54"/>
      <c r="F907" s="54"/>
      <c r="G907" s="54"/>
      <c r="H907" s="54"/>
      <c r="I907" s="54"/>
    </row>
    <row r="908">
      <c r="A908" s="76"/>
      <c r="B908" s="54"/>
      <c r="C908" s="54"/>
      <c r="D908" s="54"/>
      <c r="E908" s="54"/>
      <c r="F908" s="54"/>
      <c r="G908" s="54"/>
      <c r="H908" s="54"/>
      <c r="I908" s="54"/>
    </row>
    <row r="909">
      <c r="A909" s="76"/>
      <c r="B909" s="54"/>
      <c r="C909" s="54"/>
      <c r="D909" s="54"/>
      <c r="E909" s="54"/>
      <c r="F909" s="54"/>
      <c r="G909" s="54"/>
      <c r="H909" s="54"/>
      <c r="I909" s="54"/>
    </row>
    <row r="910">
      <c r="A910" s="76"/>
      <c r="B910" s="54"/>
      <c r="C910" s="54"/>
      <c r="D910" s="54"/>
      <c r="E910" s="54"/>
      <c r="F910" s="54"/>
      <c r="G910" s="54"/>
      <c r="H910" s="54"/>
      <c r="I910" s="54"/>
    </row>
    <row r="911">
      <c r="A911" s="76"/>
      <c r="B911" s="54"/>
      <c r="C911" s="54"/>
      <c r="D911" s="54"/>
      <c r="E911" s="54"/>
      <c r="F911" s="54"/>
      <c r="G911" s="54"/>
      <c r="H911" s="54"/>
      <c r="I911" s="54"/>
    </row>
    <row r="912">
      <c r="A912" s="76"/>
      <c r="B912" s="54"/>
      <c r="C912" s="54"/>
      <c r="D912" s="54"/>
      <c r="E912" s="54"/>
      <c r="F912" s="54"/>
      <c r="G912" s="54"/>
      <c r="H912" s="54"/>
      <c r="I912" s="54"/>
    </row>
    <row r="913">
      <c r="A913" s="76"/>
      <c r="B913" s="54"/>
      <c r="C913" s="54"/>
      <c r="D913" s="54"/>
      <c r="E913" s="54"/>
      <c r="F913" s="54"/>
      <c r="G913" s="54"/>
      <c r="H913" s="54"/>
      <c r="I913" s="54"/>
    </row>
    <row r="914">
      <c r="A914" s="76"/>
      <c r="B914" s="54"/>
      <c r="C914" s="54"/>
      <c r="D914" s="54"/>
      <c r="E914" s="54"/>
      <c r="F914" s="54"/>
      <c r="G914" s="54"/>
      <c r="H914" s="54"/>
      <c r="I914" s="54"/>
    </row>
    <row r="915">
      <c r="A915" s="76"/>
      <c r="B915" s="54"/>
      <c r="C915" s="54"/>
      <c r="D915" s="54"/>
      <c r="E915" s="54"/>
      <c r="F915" s="54"/>
      <c r="G915" s="54"/>
      <c r="H915" s="54"/>
      <c r="I915" s="54"/>
    </row>
    <row r="916">
      <c r="A916" s="76"/>
      <c r="B916" s="54"/>
      <c r="C916" s="54"/>
      <c r="D916" s="54"/>
      <c r="E916" s="54"/>
      <c r="F916" s="54"/>
      <c r="G916" s="54"/>
      <c r="H916" s="54"/>
      <c r="I916" s="54"/>
    </row>
    <row r="917">
      <c r="A917" s="76"/>
      <c r="B917" s="54"/>
      <c r="C917" s="54"/>
      <c r="D917" s="54"/>
      <c r="E917" s="54"/>
      <c r="F917" s="54"/>
      <c r="G917" s="54"/>
      <c r="H917" s="54"/>
      <c r="I917" s="54"/>
    </row>
    <row r="918">
      <c r="A918" s="76"/>
      <c r="B918" s="54"/>
      <c r="C918" s="54"/>
      <c r="D918" s="54"/>
      <c r="E918" s="54"/>
      <c r="F918" s="54"/>
      <c r="G918" s="54"/>
      <c r="H918" s="54"/>
      <c r="I918" s="54"/>
    </row>
    <row r="919">
      <c r="A919" s="76"/>
      <c r="B919" s="54"/>
      <c r="C919" s="54"/>
      <c r="D919" s="54"/>
      <c r="E919" s="54"/>
      <c r="F919" s="54"/>
      <c r="G919" s="54"/>
      <c r="H919" s="54"/>
      <c r="I919" s="54"/>
    </row>
    <row r="920">
      <c r="A920" s="76"/>
      <c r="B920" s="54"/>
      <c r="C920" s="54"/>
      <c r="D920" s="54"/>
      <c r="E920" s="54"/>
      <c r="F920" s="54"/>
      <c r="G920" s="54"/>
      <c r="H920" s="54"/>
      <c r="I920" s="54"/>
    </row>
    <row r="921">
      <c r="A921" s="76"/>
      <c r="B921" s="54"/>
      <c r="C921" s="54"/>
      <c r="D921" s="54"/>
      <c r="E921" s="54"/>
      <c r="F921" s="54"/>
      <c r="G921" s="54"/>
      <c r="H921" s="54"/>
      <c r="I921" s="54"/>
    </row>
    <row r="922">
      <c r="A922" s="76"/>
      <c r="B922" s="54"/>
      <c r="C922" s="54"/>
      <c r="D922" s="54"/>
      <c r="E922" s="54"/>
      <c r="F922" s="54"/>
      <c r="G922" s="54"/>
      <c r="H922" s="54"/>
      <c r="I922" s="54"/>
    </row>
    <row r="923">
      <c r="A923" s="76"/>
      <c r="B923" s="54"/>
      <c r="C923" s="54"/>
      <c r="D923" s="54"/>
      <c r="E923" s="54"/>
      <c r="F923" s="54"/>
      <c r="G923" s="54"/>
      <c r="H923" s="54"/>
      <c r="I923" s="54"/>
    </row>
    <row r="924">
      <c r="A924" s="76"/>
      <c r="B924" s="54"/>
      <c r="C924" s="54"/>
      <c r="D924" s="54"/>
      <c r="E924" s="54"/>
      <c r="F924" s="54"/>
      <c r="G924" s="54"/>
      <c r="H924" s="54"/>
      <c r="I924" s="54"/>
    </row>
    <row r="925">
      <c r="A925" s="76"/>
      <c r="B925" s="54"/>
      <c r="C925" s="54"/>
      <c r="D925" s="54"/>
      <c r="E925" s="54"/>
      <c r="F925" s="54"/>
      <c r="G925" s="54"/>
      <c r="H925" s="54"/>
      <c r="I925" s="54"/>
    </row>
    <row r="926">
      <c r="A926" s="76"/>
      <c r="B926" s="54"/>
      <c r="C926" s="54"/>
      <c r="D926" s="54"/>
      <c r="E926" s="54"/>
      <c r="F926" s="54"/>
      <c r="G926" s="54"/>
      <c r="H926" s="54"/>
      <c r="I926" s="54"/>
    </row>
    <row r="927">
      <c r="A927" s="76"/>
      <c r="B927" s="54"/>
      <c r="C927" s="54"/>
      <c r="D927" s="54"/>
      <c r="E927" s="54"/>
      <c r="F927" s="54"/>
      <c r="G927" s="54"/>
      <c r="H927" s="54"/>
      <c r="I927" s="54"/>
    </row>
    <row r="928">
      <c r="A928" s="76"/>
      <c r="B928" s="54"/>
      <c r="C928" s="54"/>
      <c r="D928" s="54"/>
      <c r="E928" s="54"/>
      <c r="F928" s="54"/>
      <c r="G928" s="54"/>
      <c r="H928" s="54"/>
      <c r="I928" s="54"/>
    </row>
    <row r="929">
      <c r="A929" s="76"/>
      <c r="B929" s="54"/>
      <c r="C929" s="54"/>
      <c r="D929" s="54"/>
      <c r="E929" s="54"/>
      <c r="F929" s="54"/>
      <c r="G929" s="54"/>
      <c r="H929" s="54"/>
      <c r="I929" s="54"/>
    </row>
    <row r="930">
      <c r="A930" s="76"/>
      <c r="B930" s="54"/>
      <c r="C930" s="54"/>
      <c r="D930" s="54"/>
      <c r="E930" s="54"/>
      <c r="F930" s="54"/>
      <c r="G930" s="54"/>
      <c r="H930" s="54"/>
      <c r="I930" s="54"/>
    </row>
    <row r="931">
      <c r="A931" s="76"/>
      <c r="B931" s="54"/>
      <c r="C931" s="54"/>
      <c r="D931" s="54"/>
      <c r="E931" s="54"/>
      <c r="F931" s="54"/>
      <c r="G931" s="54"/>
      <c r="H931" s="54"/>
      <c r="I931" s="54"/>
    </row>
    <row r="932">
      <c r="A932" s="76"/>
      <c r="B932" s="54"/>
      <c r="C932" s="54"/>
      <c r="D932" s="54"/>
      <c r="E932" s="54"/>
      <c r="F932" s="54"/>
      <c r="G932" s="54"/>
      <c r="H932" s="54"/>
      <c r="I932" s="54"/>
    </row>
    <row r="933">
      <c r="A933" s="76"/>
      <c r="B933" s="54"/>
      <c r="C933" s="54"/>
      <c r="D933" s="54"/>
      <c r="E933" s="54"/>
      <c r="F933" s="54"/>
      <c r="G933" s="54"/>
      <c r="H933" s="54"/>
      <c r="I933" s="54"/>
    </row>
    <row r="934">
      <c r="A934" s="76"/>
      <c r="B934" s="54"/>
      <c r="C934" s="54"/>
      <c r="D934" s="54"/>
      <c r="E934" s="54"/>
      <c r="F934" s="54"/>
      <c r="G934" s="54"/>
      <c r="H934" s="54"/>
      <c r="I934" s="54"/>
    </row>
    <row r="935">
      <c r="A935" s="76"/>
      <c r="B935" s="54"/>
      <c r="C935" s="54"/>
      <c r="D935" s="54"/>
      <c r="E935" s="54"/>
      <c r="F935" s="54"/>
      <c r="G935" s="54"/>
      <c r="H935" s="54"/>
      <c r="I935" s="54"/>
    </row>
    <row r="936">
      <c r="A936" s="76"/>
      <c r="B936" s="54"/>
      <c r="C936" s="54"/>
      <c r="D936" s="54"/>
      <c r="E936" s="54"/>
      <c r="F936" s="54"/>
      <c r="G936" s="54"/>
      <c r="H936" s="54"/>
      <c r="I936" s="54"/>
    </row>
    <row r="937">
      <c r="A937" s="76"/>
      <c r="B937" s="54"/>
      <c r="C937" s="54"/>
      <c r="D937" s="54"/>
      <c r="E937" s="54"/>
      <c r="F937" s="54"/>
      <c r="G937" s="54"/>
      <c r="H937" s="54"/>
      <c r="I937" s="54"/>
    </row>
    <row r="938">
      <c r="A938" s="76"/>
      <c r="B938" s="54"/>
      <c r="C938" s="54"/>
      <c r="D938" s="54"/>
      <c r="E938" s="54"/>
      <c r="F938" s="54"/>
      <c r="G938" s="54"/>
      <c r="H938" s="54"/>
      <c r="I938" s="54"/>
    </row>
    <row r="939">
      <c r="A939" s="76"/>
      <c r="B939" s="54"/>
      <c r="C939" s="54"/>
      <c r="D939" s="54"/>
      <c r="E939" s="54"/>
      <c r="F939" s="54"/>
      <c r="G939" s="54"/>
      <c r="H939" s="54"/>
      <c r="I939" s="54"/>
    </row>
    <row r="940">
      <c r="A940" s="76"/>
      <c r="B940" s="54"/>
      <c r="C940" s="54"/>
      <c r="D940" s="54"/>
      <c r="E940" s="54"/>
      <c r="F940" s="54"/>
      <c r="G940" s="54"/>
      <c r="H940" s="54"/>
      <c r="I940" s="54"/>
    </row>
    <row r="941">
      <c r="A941" s="76"/>
      <c r="B941" s="54"/>
      <c r="C941" s="54"/>
      <c r="D941" s="54"/>
      <c r="E941" s="54"/>
      <c r="F941" s="54"/>
      <c r="G941" s="54"/>
      <c r="H941" s="54"/>
      <c r="I941" s="54"/>
    </row>
    <row r="942">
      <c r="A942" s="76"/>
      <c r="B942" s="54"/>
      <c r="C942" s="54"/>
      <c r="D942" s="54"/>
      <c r="E942" s="54"/>
      <c r="F942" s="54"/>
      <c r="G942" s="54"/>
      <c r="H942" s="54"/>
      <c r="I942" s="54"/>
    </row>
    <row r="943">
      <c r="A943" s="76"/>
      <c r="B943" s="54"/>
      <c r="C943" s="54"/>
      <c r="D943" s="54"/>
      <c r="E943" s="54"/>
      <c r="F943" s="54"/>
      <c r="G943" s="54"/>
      <c r="H943" s="54"/>
      <c r="I943" s="54"/>
    </row>
    <row r="944">
      <c r="A944" s="76"/>
      <c r="B944" s="54"/>
      <c r="C944" s="54"/>
      <c r="D944" s="54"/>
      <c r="E944" s="54"/>
      <c r="F944" s="54"/>
      <c r="G944" s="54"/>
      <c r="H944" s="54"/>
      <c r="I944" s="54"/>
    </row>
    <row r="945">
      <c r="A945" s="76"/>
      <c r="B945" s="54"/>
      <c r="C945" s="54"/>
      <c r="D945" s="54"/>
      <c r="E945" s="54"/>
      <c r="F945" s="54"/>
      <c r="G945" s="54"/>
      <c r="H945" s="54"/>
      <c r="I945" s="54"/>
    </row>
    <row r="946">
      <c r="A946" s="76"/>
      <c r="B946" s="54"/>
      <c r="C946" s="54"/>
      <c r="D946" s="54"/>
      <c r="E946" s="54"/>
      <c r="F946" s="54"/>
      <c r="G946" s="54"/>
      <c r="H946" s="54"/>
      <c r="I946" s="54"/>
    </row>
    <row r="947">
      <c r="A947" s="76"/>
      <c r="B947" s="54"/>
      <c r="C947" s="54"/>
      <c r="D947" s="54"/>
      <c r="E947" s="54"/>
      <c r="F947" s="54"/>
      <c r="G947" s="54"/>
      <c r="H947" s="54"/>
      <c r="I947" s="54"/>
    </row>
    <row r="948">
      <c r="A948" s="76"/>
      <c r="B948" s="54"/>
      <c r="C948" s="54"/>
      <c r="D948" s="54"/>
      <c r="E948" s="54"/>
      <c r="F948" s="54"/>
      <c r="G948" s="54"/>
      <c r="H948" s="54"/>
      <c r="I948" s="54"/>
    </row>
    <row r="949">
      <c r="A949" s="76"/>
      <c r="B949" s="54"/>
      <c r="C949" s="54"/>
      <c r="D949" s="54"/>
      <c r="E949" s="54"/>
      <c r="F949" s="54"/>
      <c r="G949" s="54"/>
      <c r="H949" s="54"/>
      <c r="I949" s="54"/>
    </row>
    <row r="950">
      <c r="A950" s="76"/>
      <c r="B950" s="54"/>
      <c r="C950" s="54"/>
      <c r="D950" s="54"/>
      <c r="E950" s="54"/>
      <c r="F950" s="54"/>
      <c r="G950" s="54"/>
      <c r="H950" s="54"/>
      <c r="I950" s="54"/>
    </row>
    <row r="951">
      <c r="A951" s="76"/>
      <c r="B951" s="54"/>
      <c r="C951" s="54"/>
      <c r="D951" s="54"/>
      <c r="E951" s="54"/>
      <c r="F951" s="54"/>
      <c r="G951" s="54"/>
      <c r="H951" s="54"/>
      <c r="I951" s="54"/>
    </row>
    <row r="952">
      <c r="A952" s="76"/>
      <c r="B952" s="54"/>
      <c r="C952" s="54"/>
      <c r="D952" s="54"/>
      <c r="E952" s="54"/>
      <c r="F952" s="54"/>
      <c r="G952" s="54"/>
      <c r="H952" s="54"/>
      <c r="I952" s="54"/>
    </row>
    <row r="953">
      <c r="A953" s="76"/>
      <c r="B953" s="54"/>
      <c r="C953" s="54"/>
      <c r="D953" s="54"/>
      <c r="E953" s="54"/>
      <c r="F953" s="54"/>
      <c r="G953" s="54"/>
      <c r="H953" s="54"/>
      <c r="I953" s="54"/>
    </row>
    <row r="954">
      <c r="A954" s="76"/>
      <c r="B954" s="54"/>
      <c r="C954" s="54"/>
      <c r="D954" s="54"/>
      <c r="E954" s="54"/>
      <c r="F954" s="54"/>
      <c r="G954" s="54"/>
      <c r="H954" s="54"/>
      <c r="I954" s="54"/>
    </row>
    <row r="955">
      <c r="A955" s="76"/>
      <c r="B955" s="54"/>
      <c r="C955" s="54"/>
      <c r="D955" s="54"/>
      <c r="E955" s="54"/>
      <c r="F955" s="54"/>
      <c r="G955" s="54"/>
      <c r="H955" s="54"/>
      <c r="I955" s="54"/>
    </row>
    <row r="956">
      <c r="A956" s="76"/>
      <c r="B956" s="54"/>
      <c r="C956" s="54"/>
      <c r="D956" s="54"/>
      <c r="E956" s="54"/>
      <c r="F956" s="54"/>
      <c r="G956" s="54"/>
      <c r="H956" s="54"/>
      <c r="I956" s="54"/>
    </row>
    <row r="957">
      <c r="A957" s="76"/>
      <c r="B957" s="54"/>
      <c r="C957" s="54"/>
      <c r="D957" s="54"/>
      <c r="E957" s="54"/>
      <c r="F957" s="54"/>
      <c r="G957" s="54"/>
      <c r="H957" s="54"/>
      <c r="I957" s="54"/>
    </row>
    <row r="958">
      <c r="A958" s="76"/>
      <c r="B958" s="54"/>
      <c r="C958" s="54"/>
      <c r="D958" s="54"/>
      <c r="E958" s="54"/>
      <c r="F958" s="54"/>
      <c r="G958" s="54"/>
      <c r="H958" s="54"/>
      <c r="I958" s="54"/>
    </row>
    <row r="959">
      <c r="A959" s="76"/>
      <c r="B959" s="54"/>
      <c r="C959" s="54"/>
      <c r="D959" s="54"/>
      <c r="E959" s="54"/>
      <c r="F959" s="54"/>
      <c r="G959" s="54"/>
      <c r="H959" s="54"/>
      <c r="I959" s="54"/>
    </row>
    <row r="960">
      <c r="A960" s="76"/>
      <c r="B960" s="54"/>
      <c r="C960" s="54"/>
      <c r="D960" s="54"/>
      <c r="E960" s="54"/>
      <c r="F960" s="54"/>
      <c r="G960" s="54"/>
      <c r="H960" s="54"/>
      <c r="I960" s="54"/>
    </row>
    <row r="961">
      <c r="A961" s="76"/>
      <c r="B961" s="54"/>
      <c r="C961" s="54"/>
      <c r="D961" s="54"/>
      <c r="E961" s="54"/>
      <c r="F961" s="54"/>
      <c r="G961" s="54"/>
      <c r="H961" s="54"/>
      <c r="I961" s="54"/>
    </row>
    <row r="962">
      <c r="A962" s="76"/>
      <c r="B962" s="54"/>
      <c r="C962" s="54"/>
      <c r="D962" s="54"/>
      <c r="E962" s="54"/>
      <c r="F962" s="54"/>
      <c r="G962" s="54"/>
      <c r="H962" s="54"/>
      <c r="I962" s="54"/>
    </row>
    <row r="963">
      <c r="A963" s="76"/>
      <c r="B963" s="54"/>
      <c r="C963" s="54"/>
      <c r="D963" s="54"/>
      <c r="E963" s="54"/>
      <c r="F963" s="54"/>
      <c r="G963" s="54"/>
      <c r="H963" s="54"/>
      <c r="I963" s="54"/>
    </row>
    <row r="964">
      <c r="A964" s="76"/>
      <c r="B964" s="54"/>
      <c r="C964" s="54"/>
      <c r="D964" s="54"/>
      <c r="E964" s="54"/>
      <c r="F964" s="54"/>
      <c r="G964" s="54"/>
      <c r="H964" s="54"/>
      <c r="I964" s="54"/>
    </row>
    <row r="965">
      <c r="A965" s="76"/>
      <c r="B965" s="54"/>
      <c r="C965" s="54"/>
      <c r="D965" s="54"/>
      <c r="E965" s="54"/>
      <c r="F965" s="54"/>
      <c r="G965" s="54"/>
      <c r="H965" s="54"/>
      <c r="I965" s="54"/>
    </row>
    <row r="966">
      <c r="A966" s="76"/>
      <c r="B966" s="54"/>
      <c r="C966" s="54"/>
      <c r="D966" s="54"/>
      <c r="E966" s="54"/>
      <c r="F966" s="54"/>
      <c r="G966" s="54"/>
      <c r="H966" s="54"/>
      <c r="I966" s="54"/>
    </row>
    <row r="967">
      <c r="A967" s="76"/>
      <c r="B967" s="54"/>
      <c r="C967" s="54"/>
      <c r="D967" s="54"/>
      <c r="E967" s="54"/>
      <c r="F967" s="54"/>
      <c r="G967" s="54"/>
      <c r="H967" s="54"/>
      <c r="I967" s="54"/>
    </row>
    <row r="968">
      <c r="A968" s="76"/>
      <c r="B968" s="54"/>
      <c r="C968" s="54"/>
      <c r="D968" s="54"/>
      <c r="E968" s="54"/>
      <c r="F968" s="54"/>
      <c r="G968" s="54"/>
      <c r="H968" s="54"/>
      <c r="I968" s="54"/>
    </row>
    <row r="969">
      <c r="A969" s="76"/>
      <c r="B969" s="54"/>
      <c r="C969" s="54"/>
      <c r="D969" s="54"/>
      <c r="E969" s="54"/>
      <c r="F969" s="54"/>
      <c r="G969" s="54"/>
      <c r="H969" s="54"/>
      <c r="I969" s="54"/>
    </row>
    <row r="970">
      <c r="A970" s="76"/>
      <c r="B970" s="54"/>
      <c r="C970" s="54"/>
      <c r="D970" s="54"/>
      <c r="E970" s="54"/>
      <c r="F970" s="54"/>
      <c r="G970" s="54"/>
      <c r="H970" s="54"/>
      <c r="I970" s="54"/>
    </row>
    <row r="971">
      <c r="A971" s="76"/>
      <c r="B971" s="54"/>
      <c r="C971" s="54"/>
      <c r="D971" s="54"/>
      <c r="E971" s="54"/>
      <c r="F971" s="54"/>
      <c r="G971" s="54"/>
      <c r="H971" s="54"/>
      <c r="I971" s="54"/>
    </row>
    <row r="972">
      <c r="A972" s="76"/>
      <c r="B972" s="54"/>
      <c r="C972" s="54"/>
      <c r="D972" s="54"/>
      <c r="E972" s="54"/>
      <c r="F972" s="54"/>
      <c r="G972" s="54"/>
      <c r="H972" s="54"/>
      <c r="I972" s="54"/>
    </row>
    <row r="973">
      <c r="A973" s="76"/>
      <c r="B973" s="54"/>
      <c r="C973" s="54"/>
      <c r="D973" s="54"/>
      <c r="E973" s="54"/>
      <c r="F973" s="54"/>
      <c r="G973" s="54"/>
      <c r="H973" s="54"/>
      <c r="I973" s="54"/>
    </row>
    <row r="974">
      <c r="A974" s="76"/>
      <c r="B974" s="54"/>
      <c r="C974" s="54"/>
      <c r="D974" s="54"/>
      <c r="E974" s="54"/>
      <c r="F974" s="54"/>
      <c r="G974" s="54"/>
      <c r="H974" s="54"/>
      <c r="I974" s="54"/>
    </row>
    <row r="975">
      <c r="A975" s="76"/>
      <c r="B975" s="54"/>
      <c r="C975" s="54"/>
      <c r="D975" s="54"/>
      <c r="E975" s="54"/>
      <c r="F975" s="54"/>
      <c r="G975" s="54"/>
      <c r="H975" s="54"/>
      <c r="I975" s="54"/>
    </row>
    <row r="976">
      <c r="A976" s="76"/>
      <c r="B976" s="54"/>
      <c r="C976" s="54"/>
      <c r="D976" s="54"/>
      <c r="E976" s="54"/>
      <c r="F976" s="54"/>
      <c r="G976" s="54"/>
      <c r="H976" s="54"/>
      <c r="I976" s="54"/>
    </row>
    <row r="977">
      <c r="A977" s="76"/>
      <c r="B977" s="54"/>
      <c r="C977" s="54"/>
      <c r="D977" s="54"/>
      <c r="E977" s="54"/>
      <c r="F977" s="54"/>
      <c r="G977" s="54"/>
      <c r="H977" s="54"/>
      <c r="I977" s="54"/>
    </row>
    <row r="978">
      <c r="A978" s="76"/>
      <c r="B978" s="54"/>
      <c r="C978" s="54"/>
      <c r="D978" s="54"/>
      <c r="E978" s="54"/>
      <c r="F978" s="54"/>
      <c r="G978" s="54"/>
      <c r="H978" s="54"/>
      <c r="I978" s="54"/>
    </row>
    <row r="979">
      <c r="A979" s="76"/>
      <c r="B979" s="54"/>
      <c r="C979" s="54"/>
      <c r="D979" s="54"/>
      <c r="E979" s="54"/>
      <c r="F979" s="54"/>
      <c r="G979" s="54"/>
      <c r="H979" s="54"/>
      <c r="I979" s="54"/>
    </row>
    <row r="980">
      <c r="A980" s="76"/>
      <c r="B980" s="54"/>
      <c r="C980" s="54"/>
      <c r="D980" s="54"/>
      <c r="E980" s="54"/>
      <c r="F980" s="54"/>
      <c r="G980" s="54"/>
      <c r="H980" s="54"/>
      <c r="I980" s="54"/>
    </row>
    <row r="981">
      <c r="A981" s="76"/>
      <c r="B981" s="54"/>
      <c r="C981" s="54"/>
      <c r="D981" s="54"/>
      <c r="E981" s="54"/>
      <c r="F981" s="54"/>
      <c r="G981" s="54"/>
      <c r="H981" s="54"/>
      <c r="I981" s="54"/>
    </row>
    <row r="982">
      <c r="A982" s="76"/>
      <c r="B982" s="54"/>
      <c r="C982" s="54"/>
      <c r="D982" s="54"/>
      <c r="E982" s="54"/>
      <c r="F982" s="54"/>
      <c r="G982" s="54"/>
      <c r="H982" s="54"/>
      <c r="I982" s="54"/>
    </row>
    <row r="983">
      <c r="A983" s="76"/>
      <c r="B983" s="54"/>
      <c r="C983" s="54"/>
      <c r="D983" s="54"/>
      <c r="E983" s="54"/>
      <c r="F983" s="54"/>
      <c r="G983" s="54"/>
      <c r="H983" s="54"/>
      <c r="I983" s="54"/>
    </row>
    <row r="984">
      <c r="A984" s="76"/>
      <c r="B984" s="54"/>
      <c r="C984" s="54"/>
      <c r="D984" s="54"/>
      <c r="E984" s="54"/>
      <c r="F984" s="54"/>
      <c r="G984" s="54"/>
      <c r="H984" s="54"/>
      <c r="I984" s="54"/>
    </row>
    <row r="985">
      <c r="A985" s="76"/>
      <c r="B985" s="54"/>
      <c r="C985" s="54"/>
      <c r="D985" s="54"/>
      <c r="E985" s="54"/>
      <c r="F985" s="54"/>
      <c r="G985" s="54"/>
      <c r="H985" s="54"/>
      <c r="I985" s="54"/>
    </row>
    <row r="986">
      <c r="A986" s="76"/>
      <c r="B986" s="54"/>
      <c r="C986" s="54"/>
      <c r="D986" s="54"/>
      <c r="E986" s="54"/>
      <c r="F986" s="54"/>
      <c r="G986" s="54"/>
      <c r="H986" s="54"/>
      <c r="I986" s="54"/>
    </row>
    <row r="987">
      <c r="A987" s="76"/>
      <c r="B987" s="54"/>
      <c r="C987" s="54"/>
      <c r="D987" s="54"/>
      <c r="E987" s="54"/>
      <c r="F987" s="54"/>
      <c r="G987" s="54"/>
      <c r="H987" s="54"/>
      <c r="I987" s="54"/>
    </row>
    <row r="988">
      <c r="A988" s="76"/>
      <c r="B988" s="54"/>
      <c r="C988" s="54"/>
      <c r="D988" s="54"/>
      <c r="E988" s="54"/>
      <c r="F988" s="54"/>
      <c r="G988" s="54"/>
      <c r="H988" s="54"/>
      <c r="I988" s="54"/>
    </row>
    <row r="989">
      <c r="A989" s="76"/>
      <c r="B989" s="54"/>
      <c r="C989" s="54"/>
      <c r="D989" s="54"/>
      <c r="E989" s="54"/>
      <c r="F989" s="54"/>
      <c r="G989" s="54"/>
      <c r="H989" s="54"/>
      <c r="I989" s="54"/>
    </row>
    <row r="990">
      <c r="A990" s="76"/>
      <c r="B990" s="54"/>
      <c r="C990" s="54"/>
      <c r="D990" s="54"/>
      <c r="E990" s="54"/>
      <c r="F990" s="54"/>
      <c r="G990" s="54"/>
      <c r="H990" s="54"/>
      <c r="I990" s="54"/>
    </row>
    <row r="991">
      <c r="A991" s="76"/>
      <c r="B991" s="54"/>
      <c r="C991" s="54"/>
      <c r="D991" s="54"/>
      <c r="E991" s="54"/>
      <c r="F991" s="54"/>
      <c r="G991" s="54"/>
      <c r="H991" s="54"/>
      <c r="I991" s="54"/>
    </row>
    <row r="992">
      <c r="A992" s="76"/>
      <c r="B992" s="54"/>
      <c r="C992" s="54"/>
      <c r="D992" s="54"/>
      <c r="E992" s="54"/>
      <c r="F992" s="54"/>
      <c r="G992" s="54"/>
      <c r="H992" s="54"/>
      <c r="I992" s="54"/>
    </row>
    <row r="993">
      <c r="A993" s="76"/>
      <c r="B993" s="54"/>
      <c r="C993" s="54"/>
      <c r="D993" s="54"/>
      <c r="E993" s="54"/>
      <c r="F993" s="54"/>
      <c r="G993" s="54"/>
      <c r="H993" s="54"/>
      <c r="I993" s="54"/>
    </row>
    <row r="994">
      <c r="A994" s="76"/>
      <c r="B994" s="54"/>
      <c r="C994" s="54"/>
      <c r="D994" s="54"/>
      <c r="E994" s="54"/>
      <c r="F994" s="54"/>
      <c r="G994" s="54"/>
      <c r="H994" s="54"/>
      <c r="I994" s="54"/>
    </row>
    <row r="995">
      <c r="A995" s="76"/>
      <c r="B995" s="54"/>
      <c r="C995" s="54"/>
      <c r="D995" s="54"/>
      <c r="E995" s="54"/>
      <c r="F995" s="54"/>
      <c r="G995" s="54"/>
      <c r="H995" s="54"/>
      <c r="I995" s="54"/>
    </row>
    <row r="996">
      <c r="A996" s="76"/>
      <c r="B996" s="54"/>
      <c r="C996" s="54"/>
      <c r="D996" s="54"/>
      <c r="E996" s="54"/>
      <c r="F996" s="54"/>
      <c r="G996" s="54"/>
      <c r="H996" s="54"/>
      <c r="I996" s="54"/>
    </row>
    <row r="997">
      <c r="A997" s="76"/>
      <c r="B997" s="54"/>
      <c r="C997" s="54"/>
      <c r="D997" s="54"/>
      <c r="E997" s="54"/>
      <c r="F997" s="54"/>
      <c r="G997" s="54"/>
      <c r="H997" s="54"/>
      <c r="I997" s="54"/>
    </row>
    <row r="998">
      <c r="A998" s="76"/>
      <c r="B998" s="54"/>
      <c r="C998" s="54"/>
      <c r="D998" s="54"/>
      <c r="E998" s="54"/>
      <c r="F998" s="54"/>
      <c r="G998" s="54"/>
      <c r="H998" s="54"/>
      <c r="I998" s="54"/>
    </row>
    <row r="999">
      <c r="A999" s="76"/>
      <c r="B999" s="54"/>
      <c r="C999" s="54"/>
      <c r="D999" s="54"/>
      <c r="E999" s="54"/>
      <c r="F999" s="54"/>
      <c r="G999" s="54"/>
      <c r="H999" s="54"/>
      <c r="I999" s="54"/>
    </row>
    <row r="1000">
      <c r="A1000" s="76"/>
      <c r="B1000" s="54"/>
      <c r="C1000" s="54"/>
      <c r="D1000" s="54"/>
      <c r="E1000" s="54"/>
      <c r="F1000" s="54"/>
      <c r="G1000" s="54"/>
      <c r="H1000" s="54"/>
      <c r="I1000" s="54"/>
    </row>
  </sheetData>
  <mergeCells count="2">
    <mergeCell ref="J10:J12"/>
    <mergeCell ref="C15:F15"/>
  </mergeCells>
  <drawing r:id="rId1"/>
</worksheet>
</file>